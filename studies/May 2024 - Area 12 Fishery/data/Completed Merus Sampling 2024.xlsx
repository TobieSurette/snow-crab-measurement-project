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uretteTJ\Desktop\github\snow-crab-measurement-project\studies\May 2024 - Area 12 Fishery\data\"/>
    </mc:Choice>
  </mc:AlternateContent>
  <xr:revisionPtr revIDLastSave="0" documentId="8_{05CD9C09-49EF-4ABD-85CF-9450E9B7C5DC}" xr6:coauthVersionLast="47" xr6:coauthVersionMax="47" xr10:uidLastSave="{00000000-0000-0000-0000-000000000000}"/>
  <bookViews>
    <workbookView xWindow="348" yWindow="516" windowWidth="22692" windowHeight="10908" xr2:uid="{00000000-000D-0000-FFFF-FFFF00000000}"/>
  </bookViews>
  <sheets>
    <sheet name="2024 Data" sheetId="1" r:id="rId1"/>
    <sheet name="Lab Sheet Printing" sheetId="2" r:id="rId2"/>
    <sheet name="Merus 2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1" i="3" l="1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4" i="3"/>
  <c r="P5" i="3"/>
  <c r="P6" i="3"/>
  <c r="P7" i="3"/>
  <c r="P8" i="3"/>
  <c r="P9" i="3"/>
  <c r="P10" i="3"/>
  <c r="P11" i="3"/>
  <c r="P12" i="3"/>
  <c r="P13" i="3"/>
  <c r="P14" i="3"/>
  <c r="P15" i="3"/>
  <c r="P3" i="3"/>
  <c r="P2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4" i="3"/>
  <c r="K3" i="3"/>
  <c r="K2" i="3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M10" i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</calcChain>
</file>

<file path=xl/sharedStrings.xml><?xml version="1.0" encoding="utf-8"?>
<sst xmlns="http://schemas.openxmlformats.org/spreadsheetml/2006/main" count="905" uniqueCount="108">
  <si>
    <t>*</t>
  </si>
  <si>
    <t>xxxxxxxxxx</t>
  </si>
  <si>
    <t>3M</t>
  </si>
  <si>
    <t>y</t>
  </si>
  <si>
    <t>xxxx1xxxxx</t>
  </si>
  <si>
    <t>xxxxxxxx11</t>
  </si>
  <si>
    <t>xxxxxx1xxx</t>
  </si>
  <si>
    <t>xxx1xxxxxx</t>
  </si>
  <si>
    <t>x1xxxxxxxx</t>
  </si>
  <si>
    <t>xxx1xxxxx1</t>
  </si>
  <si>
    <t>xxxxxxx1xx</t>
  </si>
  <si>
    <t xml:space="preserve">gear </t>
  </si>
  <si>
    <t>sampler</t>
  </si>
  <si>
    <t>vessel</t>
  </si>
  <si>
    <t>latitude</t>
  </si>
  <si>
    <t>longitude</t>
  </si>
  <si>
    <t>depth.meters</t>
  </si>
  <si>
    <t>crab.number</t>
  </si>
  <si>
    <t>sex</t>
  </si>
  <si>
    <t>male</t>
  </si>
  <si>
    <t>shell.condition</t>
  </si>
  <si>
    <t>carapace.width</t>
  </si>
  <si>
    <t>chela.height</t>
  </si>
  <si>
    <t>photo.number</t>
  </si>
  <si>
    <t>durometer</t>
  </si>
  <si>
    <t>hemolymph</t>
  </si>
  <si>
    <t>frozen.leg</t>
  </si>
  <si>
    <t>missing.legs</t>
  </si>
  <si>
    <t>protection</t>
  </si>
  <si>
    <t>comment</t>
  </si>
  <si>
    <t>colorimeter.chela.L</t>
  </si>
  <si>
    <t>colorimeter.chela.a</t>
  </si>
  <si>
    <t>colorimeter.chela.b</t>
  </si>
  <si>
    <t>colorimeter.merus.L</t>
  </si>
  <si>
    <t>colorimeter.merus.a</t>
  </si>
  <si>
    <t>colorimeter.merus.b</t>
  </si>
  <si>
    <t>start.time</t>
  </si>
  <si>
    <t>end.time</t>
  </si>
  <si>
    <t>trap.number</t>
  </si>
  <si>
    <t>date.sampled</t>
  </si>
  <si>
    <t>date.measured</t>
  </si>
  <si>
    <t>Commercial SC fishing traps (J. Gionet)</t>
  </si>
  <si>
    <t>Carlo G</t>
  </si>
  <si>
    <t>MoriyasuM; LandryK; LandryJF, McWilliamM, LarocquesY, BertinC, AllainR</t>
  </si>
  <si>
    <t>Uline Glass Protection Tape S19222C</t>
  </si>
  <si>
    <t>xxx7xxxxxx</t>
  </si>
  <si>
    <t>xxxxxxxxx1</t>
  </si>
  <si>
    <t>xxxxxx2xxx</t>
  </si>
  <si>
    <t>xx1xxxxxxx</t>
  </si>
  <si>
    <t>xxxxxxx7xx</t>
  </si>
  <si>
    <t>xxxxxx1xx1</t>
  </si>
  <si>
    <t>1xxxxxxx1x</t>
  </si>
  <si>
    <t>xxxx1x1xxx</t>
  </si>
  <si>
    <t>1xxxxx1xx1</t>
  </si>
  <si>
    <t>skip</t>
  </si>
  <si>
    <t>depigmenter</t>
  </si>
  <si>
    <t>bleached spot</t>
  </si>
  <si>
    <t>skip? Barnacles</t>
  </si>
  <si>
    <t>cigarette burn</t>
  </si>
  <si>
    <t>barnacles</t>
  </si>
  <si>
    <t>.0.98</t>
  </si>
  <si>
    <t>colorimeter not average of 3 measurements; only 1</t>
  </si>
  <si>
    <t>only 3 ventral and dorsal pics per crab; colorimeter not average of 3 measurements; only 1</t>
  </si>
  <si>
    <t>Colorimeter average of 3 measurements for crab # 4 to crab #60</t>
  </si>
  <si>
    <t>Merus muscle
weight (dry)</t>
  </si>
  <si>
    <t>Lab work date</t>
  </si>
  <si>
    <t>Comment</t>
  </si>
  <si>
    <t>Frozen 
merus 
length(mm)</t>
  </si>
  <si>
    <t>Lab work       date</t>
  </si>
  <si>
    <t>Frozen leg?</t>
  </si>
  <si>
    <t>Date
sampled</t>
  </si>
  <si>
    <t>Crab
number</t>
  </si>
  <si>
    <t>Shell
condition</t>
  </si>
  <si>
    <t>Carapace
width</t>
  </si>
  <si>
    <t>Hemolymph</t>
  </si>
  <si>
    <t>Merus shell 
weight (dry)</t>
  </si>
  <si>
    <t>Frozen merus 
weight(shell &amp;
muscle)</t>
  </si>
  <si>
    <t>Frozen 
merus 
height(mm)</t>
  </si>
  <si>
    <t xml:space="preserve"> Merus shell weight (wet)</t>
  </si>
  <si>
    <t>Merus muscle 
weight (wet)</t>
  </si>
  <si>
    <t>date.
sampled</t>
  </si>
  <si>
    <t>crab.
number</t>
  </si>
  <si>
    <t>shell.
condition</t>
  </si>
  <si>
    <t>carapace.
width</t>
  </si>
  <si>
    <t>Shell 
weight
wet (g)</t>
  </si>
  <si>
    <t>Dry          lab work date</t>
  </si>
  <si>
    <t>Shell 
Weight 
dry (g)</t>
  </si>
  <si>
    <t>Merus length dry (mm)</t>
  </si>
  <si>
    <t>Merus height dry (mm)</t>
  </si>
  <si>
    <t>Wet         lab work 
date</t>
  </si>
  <si>
    <t>Empty Dish weight (g)</t>
  </si>
  <si>
    <t>Muscle 
weight
wet (g)with dish</t>
  </si>
  <si>
    <t>Muscle weight wet total (g.)</t>
  </si>
  <si>
    <t>Muscle
weight 
dry (g) with dish</t>
  </si>
  <si>
    <t>Muscle weight dry total (g)</t>
  </si>
  <si>
    <t>Total water loss (g)</t>
  </si>
  <si>
    <t>empty shell weight (wet)</t>
  </si>
  <si>
    <t>muscle 
weight (wet)</t>
  </si>
  <si>
    <t xml:space="preserve"> total wet merus weight (g)</t>
  </si>
  <si>
    <t>dry/empty shell 
weight (g)</t>
  </si>
  <si>
    <t>dry muscle
weight (g)</t>
  </si>
  <si>
    <t>dry/empty merus height (mm)</t>
  </si>
  <si>
    <t>dry/empty merus length (mm)</t>
  </si>
  <si>
    <t>wet merus 
height
(mm)</t>
  </si>
  <si>
    <t xml:space="preserve">wet merus
length 
(mm) </t>
  </si>
  <si>
    <t>wet merus
weight (g)</t>
  </si>
  <si>
    <t>wet merus length 
(mm)</t>
  </si>
  <si>
    <t xml:space="preserve"> wet merus height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</si>
</sst>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2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 vertical="center" wrapText="1"/>
    </xf>
    <xf numFmtId="164" fontId="0" fillId="0" borderId="0" xfId="0" applyNumberFormat="1" applyFill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/>
    <xf numFmtId="2" fontId="0" fillId="0" borderId="1" xfId="0" applyNumberFormat="1" applyBorder="1"/>
    <xf numFmtId="0" fontId="4" fillId="0" borderId="1" xfId="0" applyFont="1" applyBorder="1"/>
    <xf numFmtId="0" fontId="4" fillId="0" borderId="0" xfId="0" applyFont="1"/>
    <xf numFmtId="0" fontId="1" fillId="0" borderId="0" xfId="0" applyFont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ont="1" applyBorder="1"/>
    <xf numFmtId="165" fontId="0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0" xfId="0" applyFill="1"/>
    <xf numFmtId="0" fontId="0" fillId="0" borderId="0" xfId="0" applyBorder="1"/>
    <xf numFmtId="2" fontId="0" fillId="0" borderId="0" xfId="0" applyNumberFormat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5" fontId="0" fillId="3" borderId="1" xfId="0" applyNumberFormat="1" applyFill="1" applyBorder="1"/>
    <xf numFmtId="0" fontId="0" fillId="3" borderId="1" xfId="0" applyFont="1" applyFill="1" applyBorder="1"/>
    <xf numFmtId="0" fontId="0" fillId="3" borderId="0" xfId="0" applyFill="1"/>
    <xf numFmtId="14" fontId="0" fillId="0" borderId="0" xfId="0" applyNumberFormat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Font="1" applyBorder="1"/>
    <xf numFmtId="0" fontId="1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0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0"/>
  <sheetViews>
    <sheetView tabSelected="1" topLeftCell="O1" workbookViewId="0">
      <pane ySplit="1" topLeftCell="A44" activePane="bottomLeft" state="frozen"/>
      <selection activeCell="D1" sqref="D1"/>
      <selection pane="bottomLeft" activeCell="O3" sqref="O3"/>
    </sheetView>
  </sheetViews>
  <sheetFormatPr defaultColWidth="9.109375" defaultRowHeight="14.4" x14ac:dyDescent="0.3"/>
  <cols>
    <col min="1" max="1" width="13.44140625" style="1" customWidth="1"/>
    <col min="2" max="2" width="10" style="1" customWidth="1"/>
    <col min="3" max="3" width="9.109375" style="1"/>
    <col min="4" max="4" width="14.6640625" style="1" customWidth="1"/>
    <col min="5" max="5" width="35.88671875" style="1" bestFit="1" customWidth="1"/>
    <col min="6" max="6" width="13.88671875" style="1" customWidth="1"/>
    <col min="7" max="7" width="12.109375" style="1" customWidth="1"/>
    <col min="8" max="8" width="61" style="1" bestFit="1" customWidth="1"/>
    <col min="9" max="10" width="12.33203125" style="1" customWidth="1"/>
    <col min="11" max="11" width="15.5546875" style="1" customWidth="1"/>
    <col min="12" max="12" width="31.44140625" style="1" bestFit="1" customWidth="1"/>
    <col min="13" max="13" width="13.6640625" style="1" customWidth="1"/>
    <col min="14" max="14" width="10" style="1" customWidth="1"/>
    <col min="15" max="15" width="14.6640625" style="1" customWidth="1"/>
    <col min="16" max="17" width="15.6640625" style="1" customWidth="1"/>
    <col min="18" max="18" width="11.5546875" style="1" customWidth="1"/>
    <col min="19" max="19" width="10.88671875" style="6" bestFit="1" customWidth="1"/>
    <col min="20" max="20" width="15.109375" style="1" bestFit="1" customWidth="1"/>
    <col min="21" max="21" width="16.33203125" style="1" customWidth="1"/>
    <col min="22" max="22" width="12.109375" style="1" customWidth="1"/>
    <col min="23" max="29" width="21.44140625" style="1" customWidth="1"/>
    <col min="30" max="30" width="11.109375" style="1" bestFit="1" customWidth="1"/>
    <col min="31" max="31" width="12" style="53" bestFit="1" customWidth="1"/>
    <col min="32" max="32" width="15.5546875" style="53" customWidth="1"/>
    <col min="33" max="34" width="12.44140625" style="1" bestFit="1" customWidth="1"/>
    <col min="35" max="35" width="13.44140625" style="53" customWidth="1"/>
    <col min="36" max="36" width="12.6640625" style="55" bestFit="1" customWidth="1"/>
    <col min="37" max="37" width="10.44140625" style="53" bestFit="1" customWidth="1"/>
    <col min="38" max="38" width="10.5546875" style="1" bestFit="1" customWidth="1"/>
    <col min="39" max="39" width="82.44140625" style="1" bestFit="1" customWidth="1"/>
    <col min="40" max="40" width="19.44140625" style="1" bestFit="1" customWidth="1"/>
    <col min="41" max="16384" width="9.109375" style="1"/>
  </cols>
  <sheetData>
    <row r="1" spans="1:39" s="2" customFormat="1" ht="43.2" x14ac:dyDescent="0.3">
      <c r="A1" s="2" t="s">
        <v>39</v>
      </c>
      <c r="B1" s="2" t="s">
        <v>36</v>
      </c>
      <c r="C1" s="2" t="s">
        <v>37</v>
      </c>
      <c r="D1" s="2" t="s">
        <v>40</v>
      </c>
      <c r="E1" s="2" t="s">
        <v>11</v>
      </c>
      <c r="F1" s="2" t="s">
        <v>38</v>
      </c>
      <c r="G1" s="2" t="s">
        <v>13</v>
      </c>
      <c r="H1" s="2" t="s">
        <v>12</v>
      </c>
      <c r="I1" s="2" t="s">
        <v>14</v>
      </c>
      <c r="J1" s="2" t="s">
        <v>15</v>
      </c>
      <c r="K1" s="2" t="s">
        <v>16</v>
      </c>
      <c r="L1" s="3" t="s">
        <v>28</v>
      </c>
      <c r="M1" s="2" t="s">
        <v>17</v>
      </c>
      <c r="N1" s="2" t="s">
        <v>18</v>
      </c>
      <c r="O1" s="2" t="s">
        <v>20</v>
      </c>
      <c r="P1" s="2" t="s">
        <v>21</v>
      </c>
      <c r="Q1" s="2" t="s">
        <v>22</v>
      </c>
      <c r="R1" s="2" t="s">
        <v>24</v>
      </c>
      <c r="S1" s="3" t="s">
        <v>25</v>
      </c>
      <c r="T1" s="2" t="s">
        <v>26</v>
      </c>
      <c r="U1" s="2" t="s">
        <v>23</v>
      </c>
      <c r="V1" s="2" t="s">
        <v>27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65</v>
      </c>
      <c r="AD1" s="3" t="s">
        <v>106</v>
      </c>
      <c r="AE1" s="52" t="s">
        <v>107</v>
      </c>
      <c r="AF1" s="52" t="s">
        <v>98</v>
      </c>
      <c r="AG1" s="3" t="s">
        <v>96</v>
      </c>
      <c r="AH1" s="3" t="s">
        <v>97</v>
      </c>
      <c r="AI1" s="52" t="s">
        <v>102</v>
      </c>
      <c r="AJ1" s="54" t="s">
        <v>101</v>
      </c>
      <c r="AK1" s="52" t="s">
        <v>99</v>
      </c>
      <c r="AL1" s="3" t="s">
        <v>100</v>
      </c>
      <c r="AM1" s="2" t="s">
        <v>29</v>
      </c>
    </row>
    <row r="2" spans="1:39" x14ac:dyDescent="0.3">
      <c r="A2" s="8">
        <v>45427</v>
      </c>
      <c r="B2" s="4">
        <v>0.51041666666666663</v>
      </c>
      <c r="C2" s="4">
        <v>0.54513888888888895</v>
      </c>
      <c r="D2" s="8">
        <v>45427</v>
      </c>
      <c r="E2" s="1" t="s">
        <v>41</v>
      </c>
      <c r="F2" s="1">
        <v>4</v>
      </c>
      <c r="G2" s="1" t="s">
        <v>42</v>
      </c>
      <c r="H2" s="1" t="s">
        <v>43</v>
      </c>
      <c r="I2" s="1" t="s">
        <v>0</v>
      </c>
      <c r="J2" s="1" t="s">
        <v>0</v>
      </c>
      <c r="K2" s="1" t="s">
        <v>0</v>
      </c>
      <c r="L2" s="1" t="s">
        <v>44</v>
      </c>
      <c r="M2" s="1">
        <v>1</v>
      </c>
      <c r="N2" s="1" t="s">
        <v>19</v>
      </c>
      <c r="O2" s="1">
        <v>1</v>
      </c>
      <c r="P2" s="1">
        <v>104.74</v>
      </c>
      <c r="Q2" s="1">
        <v>27.72</v>
      </c>
      <c r="R2" s="1" t="s">
        <v>0</v>
      </c>
      <c r="S2" s="6">
        <v>2</v>
      </c>
      <c r="T2" s="1" t="s">
        <v>3</v>
      </c>
      <c r="U2" s="1" t="s">
        <v>0</v>
      </c>
      <c r="V2" s="1" t="s">
        <v>1</v>
      </c>
      <c r="W2" s="1">
        <v>57.6</v>
      </c>
      <c r="X2" s="1">
        <v>-2.87</v>
      </c>
      <c r="Y2" s="1" t="s">
        <v>60</v>
      </c>
      <c r="Z2" s="1">
        <v>42.06</v>
      </c>
      <c r="AA2" s="1">
        <v>0</v>
      </c>
      <c r="AB2" s="1">
        <v>-0.79</v>
      </c>
      <c r="AC2" s="48">
        <v>45603</v>
      </c>
      <c r="AD2" s="59">
        <v>96.86</v>
      </c>
      <c r="AE2" s="41">
        <v>19.920000000000002</v>
      </c>
      <c r="AF2" s="62">
        <v>13.693</v>
      </c>
      <c r="AG2" s="62">
        <v>3.4239999999999999</v>
      </c>
      <c r="AH2" s="1">
        <v>9.1250999999999998</v>
      </c>
      <c r="AI2" s="59">
        <v>95.84</v>
      </c>
      <c r="AJ2" s="56">
        <v>17.38</v>
      </c>
      <c r="AK2" s="59">
        <v>1.4202999999999999</v>
      </c>
      <c r="AL2" s="1">
        <v>1.1181000000000001</v>
      </c>
      <c r="AM2" s="5" t="s">
        <v>61</v>
      </c>
    </row>
    <row r="3" spans="1:39" x14ac:dyDescent="0.3">
      <c r="A3" s="8">
        <v>45427</v>
      </c>
      <c r="B3" s="4">
        <v>0.51041666666666663</v>
      </c>
      <c r="C3" s="4">
        <v>0.54513888888888895</v>
      </c>
      <c r="D3" s="8">
        <v>45427</v>
      </c>
      <c r="E3" s="1" t="s">
        <v>41</v>
      </c>
      <c r="F3" s="1">
        <v>4</v>
      </c>
      <c r="G3" s="1" t="s">
        <v>42</v>
      </c>
      <c r="H3" s="1" t="s">
        <v>43</v>
      </c>
      <c r="I3" s="1" t="s">
        <v>0</v>
      </c>
      <c r="J3" s="1" t="s">
        <v>0</v>
      </c>
      <c r="K3" s="1" t="s">
        <v>0</v>
      </c>
      <c r="L3" s="1" t="s">
        <v>44</v>
      </c>
      <c r="M3" s="1">
        <v>2</v>
      </c>
      <c r="N3" s="1" t="s">
        <v>19</v>
      </c>
      <c r="O3" s="1">
        <v>1</v>
      </c>
      <c r="P3" s="1">
        <v>105.98</v>
      </c>
      <c r="Q3" s="1">
        <v>27.27</v>
      </c>
      <c r="R3" s="1" t="s">
        <v>0</v>
      </c>
      <c r="S3" s="7">
        <v>2.2000000000000002</v>
      </c>
      <c r="T3" s="1" t="s">
        <v>3</v>
      </c>
      <c r="U3" s="1" t="s">
        <v>0</v>
      </c>
      <c r="V3" s="1" t="s">
        <v>45</v>
      </c>
      <c r="W3" s="1">
        <v>57.57</v>
      </c>
      <c r="X3" s="1">
        <v>-2.77</v>
      </c>
      <c r="Y3" s="1">
        <v>-1.07</v>
      </c>
      <c r="Z3" s="1">
        <v>42.81</v>
      </c>
      <c r="AA3" s="1">
        <v>0.05</v>
      </c>
      <c r="AB3" s="1">
        <v>-0.85</v>
      </c>
      <c r="AC3" s="48">
        <v>45603</v>
      </c>
      <c r="AD3" s="59">
        <v>91.12</v>
      </c>
      <c r="AE3" s="42">
        <v>18.100000000000001</v>
      </c>
      <c r="AF3" s="62">
        <v>9.6698000000000004</v>
      </c>
      <c r="AG3" s="59">
        <v>2.6686000000000001</v>
      </c>
      <c r="AH3" s="1">
        <v>6.1989000000000001</v>
      </c>
      <c r="AI3" s="59">
        <v>89.72</v>
      </c>
      <c r="AJ3" s="56">
        <v>13.43</v>
      </c>
      <c r="AK3" s="59">
        <v>0.95569999999999999</v>
      </c>
      <c r="AL3" s="1">
        <v>0.75970000000000004</v>
      </c>
      <c r="AM3" s="5" t="s">
        <v>62</v>
      </c>
    </row>
    <row r="4" spans="1:39" x14ac:dyDescent="0.3">
      <c r="A4" s="8">
        <v>45427</v>
      </c>
      <c r="B4" s="4">
        <v>0.51041666666666663</v>
      </c>
      <c r="C4" s="4">
        <v>0.54513888888888895</v>
      </c>
      <c r="D4" s="8">
        <v>45427</v>
      </c>
      <c r="E4" s="1" t="s">
        <v>41</v>
      </c>
      <c r="F4" s="1">
        <v>4</v>
      </c>
      <c r="G4" s="1" t="s">
        <v>42</v>
      </c>
      <c r="H4" s="1" t="s">
        <v>43</v>
      </c>
      <c r="I4" s="1" t="s">
        <v>0</v>
      </c>
      <c r="J4" s="1" t="s">
        <v>0</v>
      </c>
      <c r="K4" s="1" t="s">
        <v>0</v>
      </c>
      <c r="L4" s="1" t="s">
        <v>44</v>
      </c>
      <c r="M4" s="1">
        <v>3</v>
      </c>
      <c r="N4" s="1" t="s">
        <v>19</v>
      </c>
      <c r="O4" s="1">
        <v>1</v>
      </c>
      <c r="P4" s="1">
        <v>116.3</v>
      </c>
      <c r="Q4" s="1">
        <v>31.28</v>
      </c>
      <c r="R4" s="1" t="s">
        <v>0</v>
      </c>
      <c r="S4" s="7">
        <v>2.2000000000000002</v>
      </c>
      <c r="T4" s="1" t="s">
        <v>3</v>
      </c>
      <c r="U4" s="1" t="s">
        <v>0</v>
      </c>
      <c r="V4" s="1" t="s">
        <v>1</v>
      </c>
      <c r="W4" s="1">
        <v>49.56</v>
      </c>
      <c r="X4" s="1">
        <v>-2.31</v>
      </c>
      <c r="Y4" s="1">
        <v>0.73299999999999998</v>
      </c>
      <c r="Z4" s="1">
        <v>43.39</v>
      </c>
      <c r="AA4" s="1">
        <v>0.12</v>
      </c>
      <c r="AB4" s="1">
        <v>-0.6</v>
      </c>
      <c r="AC4" s="48">
        <v>45603</v>
      </c>
      <c r="AD4" s="59">
        <v>107.02</v>
      </c>
      <c r="AE4" s="42">
        <v>22.3</v>
      </c>
      <c r="AF4" s="62">
        <v>10.8643</v>
      </c>
      <c r="AG4" s="59">
        <v>3.8460999999999999</v>
      </c>
      <c r="AH4" s="1">
        <v>6.7871000000000006</v>
      </c>
      <c r="AI4" s="59">
        <v>105.33</v>
      </c>
      <c r="AJ4" s="56">
        <v>23.43</v>
      </c>
      <c r="AK4" s="59">
        <v>1.5923</v>
      </c>
      <c r="AL4" s="1">
        <v>1.2795000000000001</v>
      </c>
      <c r="AM4" s="5" t="s">
        <v>61</v>
      </c>
    </row>
    <row r="5" spans="1:39" x14ac:dyDescent="0.3">
      <c r="A5" s="8">
        <v>45427</v>
      </c>
      <c r="B5" s="4">
        <v>0.51041666666666663</v>
      </c>
      <c r="C5" s="4">
        <v>0.54513888888888895</v>
      </c>
      <c r="D5" s="8">
        <v>45427</v>
      </c>
      <c r="E5" s="1" t="s">
        <v>41</v>
      </c>
      <c r="F5" s="1">
        <v>4</v>
      </c>
      <c r="G5" s="1" t="s">
        <v>42</v>
      </c>
      <c r="H5" s="1" t="s">
        <v>43</v>
      </c>
      <c r="I5" s="1" t="s">
        <v>0</v>
      </c>
      <c r="J5" s="1" t="s">
        <v>0</v>
      </c>
      <c r="K5" s="1" t="s">
        <v>0</v>
      </c>
      <c r="L5" s="1" t="s">
        <v>44</v>
      </c>
      <c r="M5" s="1">
        <v>4</v>
      </c>
      <c r="N5" s="1" t="s">
        <v>19</v>
      </c>
      <c r="O5" s="1">
        <v>1</v>
      </c>
      <c r="P5" s="1">
        <v>116.86</v>
      </c>
      <c r="Q5" s="1">
        <v>31.38</v>
      </c>
      <c r="R5" s="1" t="s">
        <v>0</v>
      </c>
      <c r="S5" s="7">
        <v>2</v>
      </c>
      <c r="T5" s="1" t="s">
        <v>3</v>
      </c>
      <c r="U5" s="1" t="s">
        <v>0</v>
      </c>
      <c r="V5" s="1" t="s">
        <v>4</v>
      </c>
      <c r="W5" s="1">
        <v>59.14</v>
      </c>
      <c r="X5" s="1">
        <v>-2.4300000000000002</v>
      </c>
      <c r="Y5" s="1">
        <v>-1.01</v>
      </c>
      <c r="Z5" s="1">
        <v>43.29</v>
      </c>
      <c r="AA5" s="1">
        <v>-1.68</v>
      </c>
      <c r="AB5" s="1">
        <v>-3.31</v>
      </c>
      <c r="AC5" s="48">
        <v>45603</v>
      </c>
      <c r="AD5" s="60">
        <v>105.6</v>
      </c>
      <c r="AE5" s="41">
        <v>26.61</v>
      </c>
      <c r="AF5" s="59">
        <v>10.7888</v>
      </c>
      <c r="AG5" s="59">
        <v>3.5768</v>
      </c>
      <c r="AH5" s="1">
        <v>7.1176000000000013</v>
      </c>
      <c r="AI5" s="59">
        <v>104.68</v>
      </c>
      <c r="AJ5" s="56">
        <v>26.37</v>
      </c>
      <c r="AK5" s="59">
        <v>1.7063999999999999</v>
      </c>
      <c r="AL5" s="1">
        <v>1.4193000000000002</v>
      </c>
      <c r="AM5" s="5" t="s">
        <v>63</v>
      </c>
    </row>
    <row r="6" spans="1:39" x14ac:dyDescent="0.3">
      <c r="A6" s="8">
        <v>45427</v>
      </c>
      <c r="B6" s="4">
        <v>0.51041666666666663</v>
      </c>
      <c r="C6" s="4">
        <v>0.54513888888888895</v>
      </c>
      <c r="D6" s="8">
        <v>45427</v>
      </c>
      <c r="E6" s="1" t="s">
        <v>41</v>
      </c>
      <c r="F6" s="1">
        <v>4</v>
      </c>
      <c r="G6" s="1" t="s">
        <v>42</v>
      </c>
      <c r="H6" s="1" t="s">
        <v>43</v>
      </c>
      <c r="I6" s="1" t="s">
        <v>0</v>
      </c>
      <c r="J6" s="1" t="s">
        <v>0</v>
      </c>
      <c r="K6" s="1" t="s">
        <v>0</v>
      </c>
      <c r="L6" s="1" t="s">
        <v>44</v>
      </c>
      <c r="M6" s="1">
        <v>5</v>
      </c>
      <c r="N6" s="1" t="s">
        <v>19</v>
      </c>
      <c r="O6" s="1">
        <v>2</v>
      </c>
      <c r="P6" s="1">
        <v>93.71</v>
      </c>
      <c r="Q6" s="1">
        <v>18.39</v>
      </c>
      <c r="R6" s="1" t="s">
        <v>0</v>
      </c>
      <c r="S6" s="7">
        <v>4</v>
      </c>
      <c r="T6" s="1" t="s">
        <v>3</v>
      </c>
      <c r="U6" s="1" t="s">
        <v>0</v>
      </c>
      <c r="V6" s="1" t="s">
        <v>46</v>
      </c>
      <c r="W6" s="1">
        <v>44.45</v>
      </c>
      <c r="X6" s="1">
        <v>2.64</v>
      </c>
      <c r="Y6" s="1">
        <v>11.56</v>
      </c>
      <c r="Z6" s="1">
        <v>40.03</v>
      </c>
      <c r="AA6" s="1">
        <v>4.49</v>
      </c>
      <c r="AB6" s="1">
        <v>4.1900000000000004</v>
      </c>
      <c r="AC6" s="48">
        <v>45603</v>
      </c>
      <c r="AD6" s="60">
        <v>85.08</v>
      </c>
      <c r="AE6" s="41">
        <v>17.28</v>
      </c>
      <c r="AF6" s="59">
        <v>9.5710999999999995</v>
      </c>
      <c r="AG6" s="59">
        <v>3.1467999999999998</v>
      </c>
      <c r="AH6" s="1">
        <v>6.2756999999999996</v>
      </c>
      <c r="AI6" s="59">
        <v>84.58</v>
      </c>
      <c r="AJ6" s="57">
        <v>18.899999999999999</v>
      </c>
      <c r="AK6" s="62">
        <v>1.52</v>
      </c>
      <c r="AL6" s="1">
        <v>1.1565999999999999</v>
      </c>
      <c r="AM6" s="5" t="s">
        <v>57</v>
      </c>
    </row>
    <row r="7" spans="1:39" x14ac:dyDescent="0.3">
      <c r="A7" s="8">
        <v>45427</v>
      </c>
      <c r="B7" s="4">
        <v>0.51041666666666663</v>
      </c>
      <c r="C7" s="4">
        <v>0.54513888888888895</v>
      </c>
      <c r="D7" s="8">
        <v>45427</v>
      </c>
      <c r="E7" s="1" t="s">
        <v>41</v>
      </c>
      <c r="F7" s="1">
        <v>4</v>
      </c>
      <c r="G7" s="1" t="s">
        <v>42</v>
      </c>
      <c r="H7" s="1" t="s">
        <v>43</v>
      </c>
      <c r="I7" s="1" t="s">
        <v>0</v>
      </c>
      <c r="J7" s="1" t="s">
        <v>0</v>
      </c>
      <c r="K7" s="1" t="s">
        <v>0</v>
      </c>
      <c r="L7" s="1" t="s">
        <v>44</v>
      </c>
      <c r="M7" s="1">
        <v>6</v>
      </c>
      <c r="N7" s="1" t="s">
        <v>19</v>
      </c>
      <c r="O7" s="1">
        <v>1</v>
      </c>
      <c r="P7" s="1">
        <v>105.11</v>
      </c>
      <c r="Q7" s="1">
        <v>24.82</v>
      </c>
      <c r="R7" s="1" t="s">
        <v>0</v>
      </c>
      <c r="S7" s="7">
        <v>2.2000000000000002</v>
      </c>
      <c r="T7" s="1" t="s">
        <v>3</v>
      </c>
      <c r="U7" s="1" t="s">
        <v>0</v>
      </c>
      <c r="V7" s="1" t="s">
        <v>1</v>
      </c>
      <c r="W7" s="1">
        <v>55.63</v>
      </c>
      <c r="X7" s="1">
        <v>-1.83</v>
      </c>
      <c r="Y7" s="1">
        <v>0.96</v>
      </c>
      <c r="Z7" s="1">
        <v>41.29</v>
      </c>
      <c r="AA7" s="1">
        <v>0.59</v>
      </c>
      <c r="AB7" s="1">
        <v>-1.24</v>
      </c>
      <c r="AC7" s="48">
        <v>45603</v>
      </c>
      <c r="AD7" s="59">
        <v>99.79</v>
      </c>
      <c r="AE7" s="41">
        <v>19.45</v>
      </c>
      <c r="AF7" s="59">
        <v>11.8468</v>
      </c>
      <c r="AG7" s="62">
        <v>3.53</v>
      </c>
      <c r="AH7" s="1">
        <v>7.0415999999999999</v>
      </c>
      <c r="AI7" s="60">
        <v>99.29</v>
      </c>
      <c r="AJ7" s="57">
        <v>16.37</v>
      </c>
      <c r="AK7" s="59">
        <v>1.3213999999999999</v>
      </c>
      <c r="AL7" s="1">
        <v>0.94259999999999988</v>
      </c>
      <c r="AM7" s="5"/>
    </row>
    <row r="8" spans="1:39" x14ac:dyDescent="0.3">
      <c r="A8" s="8">
        <v>45427</v>
      </c>
      <c r="B8" s="4">
        <v>0.51041666666666663</v>
      </c>
      <c r="C8" s="4">
        <v>0.54513888888888895</v>
      </c>
      <c r="D8" s="8">
        <v>45427</v>
      </c>
      <c r="E8" s="1" t="s">
        <v>41</v>
      </c>
      <c r="F8" s="1">
        <v>4</v>
      </c>
      <c r="G8" s="1" t="s">
        <v>42</v>
      </c>
      <c r="H8" s="1" t="s">
        <v>43</v>
      </c>
      <c r="I8" s="1" t="s">
        <v>0</v>
      </c>
      <c r="J8" s="1" t="s">
        <v>0</v>
      </c>
      <c r="K8" s="1" t="s">
        <v>0</v>
      </c>
      <c r="L8" s="1" t="s">
        <v>44</v>
      </c>
      <c r="M8" s="1">
        <v>7</v>
      </c>
      <c r="N8" s="1" t="s">
        <v>19</v>
      </c>
      <c r="O8" s="1">
        <v>1</v>
      </c>
      <c r="P8" s="1">
        <v>125.54</v>
      </c>
      <c r="Q8" s="1">
        <v>32.28</v>
      </c>
      <c r="R8" s="1" t="s">
        <v>0</v>
      </c>
      <c r="S8" s="7">
        <v>2</v>
      </c>
      <c r="T8" s="1" t="s">
        <v>3</v>
      </c>
      <c r="U8" s="1" t="s">
        <v>0</v>
      </c>
      <c r="V8" s="1" t="s">
        <v>1</v>
      </c>
      <c r="W8" s="1">
        <v>65.099999999999994</v>
      </c>
      <c r="X8" s="1">
        <v>-2.0699999999999998</v>
      </c>
      <c r="Y8" s="1">
        <v>0.22</v>
      </c>
      <c r="Z8" s="1">
        <v>44.23</v>
      </c>
      <c r="AA8" s="1">
        <v>0.54</v>
      </c>
      <c r="AB8" s="1">
        <v>-1.49</v>
      </c>
      <c r="AC8" s="49">
        <v>45610</v>
      </c>
      <c r="AD8" s="59">
        <v>116.88</v>
      </c>
      <c r="AE8" s="41">
        <v>22.87</v>
      </c>
      <c r="AF8" s="59">
        <v>16.708500000000001</v>
      </c>
      <c r="AG8" s="59">
        <v>4.1801000000000004</v>
      </c>
      <c r="AH8" s="1">
        <v>11.825800000000001</v>
      </c>
      <c r="AI8" s="59">
        <v>113.31</v>
      </c>
      <c r="AJ8" s="56">
        <v>24.71</v>
      </c>
      <c r="AK8" s="59">
        <v>2.0038</v>
      </c>
      <c r="AL8" s="1">
        <v>1.6804000000000001</v>
      </c>
      <c r="AM8" s="5"/>
    </row>
    <row r="9" spans="1:39" x14ac:dyDescent="0.3">
      <c r="A9" s="8">
        <v>45427</v>
      </c>
      <c r="B9" s="4">
        <v>0.51041666666666663</v>
      </c>
      <c r="C9" s="4">
        <v>0.54513888888888895</v>
      </c>
      <c r="D9" s="8">
        <v>45427</v>
      </c>
      <c r="E9" s="1" t="s">
        <v>41</v>
      </c>
      <c r="F9" s="1">
        <v>4</v>
      </c>
      <c r="G9" s="1" t="s">
        <v>42</v>
      </c>
      <c r="H9" s="1" t="s">
        <v>43</v>
      </c>
      <c r="I9" s="1" t="s">
        <v>0</v>
      </c>
      <c r="J9" s="1" t="s">
        <v>0</v>
      </c>
      <c r="K9" s="1" t="s">
        <v>0</v>
      </c>
      <c r="L9" s="1" t="s">
        <v>44</v>
      </c>
      <c r="M9" s="1">
        <v>8</v>
      </c>
      <c r="N9" s="1" t="s">
        <v>19</v>
      </c>
      <c r="O9" s="1">
        <v>1</v>
      </c>
      <c r="P9" s="1">
        <v>112.94</v>
      </c>
      <c r="Q9" s="1">
        <v>29.04</v>
      </c>
      <c r="R9" s="1" t="s">
        <v>0</v>
      </c>
      <c r="S9" s="7">
        <v>2.4</v>
      </c>
      <c r="T9" s="1" t="s">
        <v>3</v>
      </c>
      <c r="U9" s="1" t="s">
        <v>0</v>
      </c>
      <c r="V9" s="1" t="s">
        <v>1</v>
      </c>
      <c r="W9" s="1">
        <v>55.8</v>
      </c>
      <c r="X9" s="1">
        <v>-0.41</v>
      </c>
      <c r="Y9" s="1">
        <v>-2.48</v>
      </c>
      <c r="Z9" s="1">
        <v>43</v>
      </c>
      <c r="AA9" s="1">
        <v>0.95</v>
      </c>
      <c r="AB9" s="1">
        <v>-1.04</v>
      </c>
      <c r="AC9" s="49">
        <v>45615</v>
      </c>
      <c r="AD9" s="59">
        <v>104.87</v>
      </c>
      <c r="AE9" s="41">
        <v>23.34</v>
      </c>
      <c r="AF9" s="59">
        <v>18.724299999999999</v>
      </c>
      <c r="AG9" s="59">
        <v>4.1109</v>
      </c>
      <c r="AH9" s="1">
        <v>13.8772</v>
      </c>
      <c r="AI9" s="59">
        <v>104.02</v>
      </c>
      <c r="AJ9" s="57">
        <v>20.61</v>
      </c>
      <c r="AK9" s="62">
        <v>1.8178000000000001</v>
      </c>
      <c r="AL9" s="1">
        <v>1.3606000000000003</v>
      </c>
      <c r="AM9" s="5"/>
    </row>
    <row r="10" spans="1:39" x14ac:dyDescent="0.3">
      <c r="A10" s="8">
        <v>45427</v>
      </c>
      <c r="B10" s="4">
        <v>0.5625</v>
      </c>
      <c r="C10" s="4">
        <v>0.66666666666666663</v>
      </c>
      <c r="D10" s="8">
        <v>45427</v>
      </c>
      <c r="E10" s="1" t="s">
        <v>41</v>
      </c>
      <c r="F10" s="1">
        <v>4</v>
      </c>
      <c r="G10" s="1" t="s">
        <v>42</v>
      </c>
      <c r="H10" s="1" t="s">
        <v>43</v>
      </c>
      <c r="I10" s="1" t="s">
        <v>0</v>
      </c>
      <c r="J10" s="1" t="s">
        <v>0</v>
      </c>
      <c r="K10" s="1" t="s">
        <v>0</v>
      </c>
      <c r="L10" s="1" t="s">
        <v>44</v>
      </c>
      <c r="M10" s="1">
        <f>(M9+1)</f>
        <v>9</v>
      </c>
      <c r="N10" s="1" t="s">
        <v>19</v>
      </c>
      <c r="O10" s="1">
        <v>1</v>
      </c>
      <c r="P10" s="1">
        <v>102.92</v>
      </c>
      <c r="Q10" s="1">
        <v>25.3</v>
      </c>
      <c r="R10" s="1" t="s">
        <v>0</v>
      </c>
      <c r="S10" s="7">
        <v>2.2000000000000002</v>
      </c>
      <c r="T10" s="1" t="s">
        <v>3</v>
      </c>
      <c r="U10" s="1" t="s">
        <v>0</v>
      </c>
      <c r="V10" s="1" t="s">
        <v>10</v>
      </c>
      <c r="W10" s="1">
        <v>63.57</v>
      </c>
      <c r="X10" s="1">
        <v>-2.23</v>
      </c>
      <c r="Y10" s="1">
        <v>0.89</v>
      </c>
      <c r="Z10" s="1">
        <v>42.38</v>
      </c>
      <c r="AA10" s="1">
        <v>4.1500000000000004</v>
      </c>
      <c r="AB10" s="1">
        <v>1.04</v>
      </c>
      <c r="AC10" s="49">
        <v>45614</v>
      </c>
      <c r="AD10" s="60">
        <v>92.9</v>
      </c>
      <c r="AE10" s="41">
        <v>20.010000000000002</v>
      </c>
      <c r="AF10" s="59">
        <v>12.6686</v>
      </c>
      <c r="AG10" s="59">
        <v>3.0687000000000002</v>
      </c>
      <c r="AH10" s="1">
        <v>7.8307000000000002</v>
      </c>
      <c r="AI10" s="59">
        <v>92.41</v>
      </c>
      <c r="AJ10" s="56">
        <v>18.34</v>
      </c>
      <c r="AK10" s="59">
        <v>1.2257</v>
      </c>
      <c r="AL10" s="1">
        <v>0.94730000000000003</v>
      </c>
      <c r="AM10" s="5"/>
    </row>
    <row r="11" spans="1:39" x14ac:dyDescent="0.3">
      <c r="A11" s="8">
        <v>45427</v>
      </c>
      <c r="B11" s="4">
        <v>0.5625</v>
      </c>
      <c r="C11" s="4">
        <v>0.66666666666666663</v>
      </c>
      <c r="D11" s="8">
        <v>45427</v>
      </c>
      <c r="E11" s="1" t="s">
        <v>41</v>
      </c>
      <c r="F11" s="1">
        <v>4</v>
      </c>
      <c r="G11" s="1" t="s">
        <v>42</v>
      </c>
      <c r="H11" s="1" t="s">
        <v>43</v>
      </c>
      <c r="I11" s="1" t="s">
        <v>0</v>
      </c>
      <c r="J11" s="1" t="s">
        <v>0</v>
      </c>
      <c r="K11" s="1" t="s">
        <v>0</v>
      </c>
      <c r="L11" s="1" t="s">
        <v>44</v>
      </c>
      <c r="M11" s="1">
        <f t="shared" ref="M11:M61" si="0">(M10+1)</f>
        <v>10</v>
      </c>
      <c r="N11" s="1" t="s">
        <v>19</v>
      </c>
      <c r="O11" s="1">
        <v>1</v>
      </c>
      <c r="P11" s="1">
        <v>111.37</v>
      </c>
      <c r="Q11" s="1">
        <v>28.75</v>
      </c>
      <c r="R11" s="1" t="s">
        <v>0</v>
      </c>
      <c r="S11" s="7">
        <v>2.2000000000000002</v>
      </c>
      <c r="T11" s="1" t="s">
        <v>3</v>
      </c>
      <c r="U11" s="1" t="s">
        <v>0</v>
      </c>
      <c r="V11" s="1" t="s">
        <v>1</v>
      </c>
      <c r="W11" s="1">
        <v>54.58</v>
      </c>
      <c r="X11" s="1">
        <v>-0.67</v>
      </c>
      <c r="Y11" s="1">
        <v>-0.63</v>
      </c>
      <c r="Z11" s="1">
        <v>41.64</v>
      </c>
      <c r="AA11" s="1">
        <v>1.94</v>
      </c>
      <c r="AB11" s="1">
        <v>-1</v>
      </c>
      <c r="AC11" s="48">
        <v>45603</v>
      </c>
      <c r="AD11" s="59">
        <v>116.25</v>
      </c>
      <c r="AE11" s="41">
        <v>22.18</v>
      </c>
      <c r="AF11" s="59">
        <v>16.729299999999999</v>
      </c>
      <c r="AG11" s="62">
        <v>4.99</v>
      </c>
      <c r="AH11" s="1">
        <v>11.227799999999998</v>
      </c>
      <c r="AI11" s="59">
        <v>115.91</v>
      </c>
      <c r="AJ11" s="56">
        <v>22.16</v>
      </c>
      <c r="AK11" s="59">
        <v>1.8190999999999999</v>
      </c>
      <c r="AL11" s="1">
        <v>1.2983000000000002</v>
      </c>
      <c r="AM11" s="5"/>
    </row>
    <row r="12" spans="1:39" x14ac:dyDescent="0.3">
      <c r="A12" s="8">
        <v>45427</v>
      </c>
      <c r="B12" s="4">
        <v>0.5625</v>
      </c>
      <c r="C12" s="4">
        <v>0.66666666666666663</v>
      </c>
      <c r="D12" s="8">
        <v>45427</v>
      </c>
      <c r="E12" s="1" t="s">
        <v>41</v>
      </c>
      <c r="F12" s="1">
        <v>4</v>
      </c>
      <c r="G12" s="1" t="s">
        <v>42</v>
      </c>
      <c r="H12" s="1" t="s">
        <v>43</v>
      </c>
      <c r="I12" s="1" t="s">
        <v>0</v>
      </c>
      <c r="J12" s="1" t="s">
        <v>0</v>
      </c>
      <c r="K12" s="1" t="s">
        <v>0</v>
      </c>
      <c r="L12" s="1" t="s">
        <v>44</v>
      </c>
      <c r="M12" s="1">
        <f t="shared" si="0"/>
        <v>11</v>
      </c>
      <c r="N12" s="1" t="s">
        <v>19</v>
      </c>
      <c r="O12" s="1">
        <v>1</v>
      </c>
      <c r="P12" s="1">
        <v>110.85</v>
      </c>
      <c r="Q12" s="1">
        <v>26.76</v>
      </c>
      <c r="R12" s="1" t="s">
        <v>0</v>
      </c>
      <c r="S12" s="7">
        <v>2</v>
      </c>
      <c r="T12" s="1" t="s">
        <v>3</v>
      </c>
      <c r="U12" s="1" t="s">
        <v>0</v>
      </c>
      <c r="V12" s="1" t="s">
        <v>1</v>
      </c>
      <c r="W12" s="1">
        <v>56.79</v>
      </c>
      <c r="X12" s="1">
        <v>0.03</v>
      </c>
      <c r="Y12" s="1">
        <v>-0.78</v>
      </c>
      <c r="Z12" s="1">
        <v>42.94</v>
      </c>
      <c r="AA12" s="1">
        <v>2.67</v>
      </c>
      <c r="AB12" s="1">
        <v>-0.76</v>
      </c>
      <c r="AC12" s="48">
        <v>45603</v>
      </c>
      <c r="AD12" s="59">
        <v>97.35</v>
      </c>
      <c r="AE12" s="42">
        <v>21</v>
      </c>
      <c r="AF12" s="62">
        <v>12.8751</v>
      </c>
      <c r="AG12" s="59">
        <v>3.3294000000000001</v>
      </c>
      <c r="AH12" s="1">
        <v>7.6041000000000007</v>
      </c>
      <c r="AI12" s="59">
        <v>96.38</v>
      </c>
      <c r="AJ12" s="57">
        <v>19.100000000000001</v>
      </c>
      <c r="AK12" s="59">
        <v>1.3378000000000001</v>
      </c>
      <c r="AL12" s="1">
        <v>1.0126999999999999</v>
      </c>
      <c r="AM12" s="5"/>
    </row>
    <row r="13" spans="1:39" x14ac:dyDescent="0.3">
      <c r="A13" s="8">
        <v>45427</v>
      </c>
      <c r="B13" s="4">
        <v>0.5625</v>
      </c>
      <c r="C13" s="4">
        <v>0.66666666666666663</v>
      </c>
      <c r="D13" s="8">
        <v>45427</v>
      </c>
      <c r="E13" s="1" t="s">
        <v>41</v>
      </c>
      <c r="F13" s="1">
        <v>4</v>
      </c>
      <c r="G13" s="1" t="s">
        <v>42</v>
      </c>
      <c r="H13" s="1" t="s">
        <v>43</v>
      </c>
      <c r="I13" s="1" t="s">
        <v>0</v>
      </c>
      <c r="J13" s="1" t="s">
        <v>0</v>
      </c>
      <c r="K13" s="1" t="s">
        <v>0</v>
      </c>
      <c r="L13" s="1" t="s">
        <v>44</v>
      </c>
      <c r="M13" s="1">
        <f t="shared" si="0"/>
        <v>12</v>
      </c>
      <c r="N13" s="1" t="s">
        <v>19</v>
      </c>
      <c r="O13" s="1">
        <v>1</v>
      </c>
      <c r="P13" s="1">
        <v>119.56</v>
      </c>
      <c r="Q13" s="1">
        <v>33.25</v>
      </c>
      <c r="R13" s="1" t="s">
        <v>0</v>
      </c>
      <c r="S13" s="7">
        <v>2</v>
      </c>
      <c r="T13" s="1" t="s">
        <v>3</v>
      </c>
      <c r="U13" s="1" t="s">
        <v>0</v>
      </c>
      <c r="V13" s="1" t="s">
        <v>1</v>
      </c>
      <c r="W13" s="1">
        <v>59.4</v>
      </c>
      <c r="X13" s="1">
        <v>-0.88</v>
      </c>
      <c r="Y13" s="1">
        <v>0.87</v>
      </c>
      <c r="Z13" s="1">
        <v>42.24</v>
      </c>
      <c r="AA13" s="1">
        <v>-0.24</v>
      </c>
      <c r="AB13" s="1">
        <v>-2.09</v>
      </c>
      <c r="AC13" s="49">
        <v>45614</v>
      </c>
      <c r="AD13" s="59">
        <v>111.75</v>
      </c>
      <c r="AE13" s="41">
        <v>22.81</v>
      </c>
      <c r="AF13" s="59">
        <v>13.9358</v>
      </c>
      <c r="AG13" s="59">
        <v>4.7704000000000004</v>
      </c>
      <c r="AH13" s="1">
        <v>8.4787999999999997</v>
      </c>
      <c r="AI13" s="59">
        <v>109.75</v>
      </c>
      <c r="AJ13" s="57">
        <v>23</v>
      </c>
      <c r="AK13" s="59">
        <v>1.9066000000000001</v>
      </c>
      <c r="AL13" s="1">
        <v>1.3262999999999998</v>
      </c>
      <c r="AM13" s="5"/>
    </row>
    <row r="14" spans="1:39" x14ac:dyDescent="0.3">
      <c r="A14" s="8">
        <v>45427</v>
      </c>
      <c r="B14" s="4">
        <v>0.5625</v>
      </c>
      <c r="C14" s="4">
        <v>0.66666666666666663</v>
      </c>
      <c r="D14" s="8">
        <v>45427</v>
      </c>
      <c r="E14" s="1" t="s">
        <v>41</v>
      </c>
      <c r="F14" s="1">
        <v>4</v>
      </c>
      <c r="G14" s="1" t="s">
        <v>42</v>
      </c>
      <c r="H14" s="1" t="s">
        <v>43</v>
      </c>
      <c r="I14" s="1" t="s">
        <v>0</v>
      </c>
      <c r="J14" s="1" t="s">
        <v>0</v>
      </c>
      <c r="K14" s="1" t="s">
        <v>0</v>
      </c>
      <c r="L14" s="1" t="s">
        <v>44</v>
      </c>
      <c r="M14" s="1">
        <f t="shared" si="0"/>
        <v>13</v>
      </c>
      <c r="N14" s="1" t="s">
        <v>19</v>
      </c>
      <c r="O14" s="1">
        <v>1</v>
      </c>
      <c r="P14" s="1">
        <v>111.9</v>
      </c>
      <c r="Q14" s="1">
        <v>27.86</v>
      </c>
      <c r="R14" s="1" t="s">
        <v>0</v>
      </c>
      <c r="S14" s="7">
        <v>2.2000000000000002</v>
      </c>
      <c r="T14" s="1" t="s">
        <v>3</v>
      </c>
      <c r="U14" s="1" t="s">
        <v>0</v>
      </c>
      <c r="V14" s="1" t="s">
        <v>1</v>
      </c>
      <c r="W14" s="1">
        <v>57.85</v>
      </c>
      <c r="X14" s="1">
        <v>-1.35</v>
      </c>
      <c r="Y14" s="1">
        <v>-0.9</v>
      </c>
      <c r="Z14" s="1">
        <v>43.12</v>
      </c>
      <c r="AA14" s="1">
        <v>0.61</v>
      </c>
      <c r="AB14" s="1">
        <v>-0.33</v>
      </c>
      <c r="AC14" s="49">
        <v>45614</v>
      </c>
      <c r="AD14" s="59">
        <v>101.17</v>
      </c>
      <c r="AE14" s="41">
        <v>21.78</v>
      </c>
      <c r="AF14" s="59">
        <v>14.5991</v>
      </c>
      <c r="AG14" s="62">
        <v>3.3492000000000002</v>
      </c>
      <c r="AH14" s="1">
        <v>10.866000000000001</v>
      </c>
      <c r="AI14" s="59">
        <v>101.01</v>
      </c>
      <c r="AJ14" s="56">
        <v>20.86</v>
      </c>
      <c r="AK14" s="59">
        <v>1.4345000000000001</v>
      </c>
      <c r="AL14" s="1">
        <v>1.1143999999999998</v>
      </c>
      <c r="AM14" s="5"/>
    </row>
    <row r="15" spans="1:39" x14ac:dyDescent="0.3">
      <c r="A15" s="8">
        <v>45427</v>
      </c>
      <c r="B15" s="4">
        <v>0.5625</v>
      </c>
      <c r="C15" s="4">
        <v>0.66666666666666663</v>
      </c>
      <c r="D15" s="8">
        <v>45427</v>
      </c>
      <c r="E15" s="1" t="s">
        <v>41</v>
      </c>
      <c r="F15" s="1">
        <v>4</v>
      </c>
      <c r="G15" s="1" t="s">
        <v>42</v>
      </c>
      <c r="H15" s="1" t="s">
        <v>43</v>
      </c>
      <c r="I15" s="1" t="s">
        <v>0</v>
      </c>
      <c r="J15" s="1" t="s">
        <v>0</v>
      </c>
      <c r="K15" s="1" t="s">
        <v>0</v>
      </c>
      <c r="L15" s="1" t="s">
        <v>44</v>
      </c>
      <c r="M15" s="1">
        <f t="shared" si="0"/>
        <v>14</v>
      </c>
      <c r="N15" s="1" t="s">
        <v>19</v>
      </c>
      <c r="O15" s="1">
        <v>1</v>
      </c>
      <c r="P15" s="1">
        <v>117.7</v>
      </c>
      <c r="Q15" s="1">
        <v>31.19</v>
      </c>
      <c r="R15" s="1" t="s">
        <v>0</v>
      </c>
      <c r="S15" s="7">
        <v>2.2000000000000002</v>
      </c>
      <c r="T15" s="1" t="s">
        <v>3</v>
      </c>
      <c r="U15" s="1" t="s">
        <v>0</v>
      </c>
      <c r="V15" s="1" t="s">
        <v>1</v>
      </c>
      <c r="W15" s="1">
        <v>59.7</v>
      </c>
      <c r="X15" s="1">
        <v>-1.63</v>
      </c>
      <c r="Y15" s="1">
        <v>3.81</v>
      </c>
      <c r="Z15" s="1">
        <v>45.29</v>
      </c>
      <c r="AA15" s="1">
        <v>-1.17</v>
      </c>
      <c r="AB15" s="1">
        <v>-1.02</v>
      </c>
      <c r="AC15" s="48">
        <v>45603</v>
      </c>
      <c r="AD15" s="59">
        <v>108.71</v>
      </c>
      <c r="AE15" s="42">
        <v>23.1</v>
      </c>
      <c r="AF15" s="62">
        <v>16.0717</v>
      </c>
      <c r="AG15" s="59">
        <v>4.4333999999999998</v>
      </c>
      <c r="AH15" s="1">
        <v>10.328800000000001</v>
      </c>
      <c r="AI15" s="59">
        <v>105.81</v>
      </c>
      <c r="AJ15" s="56">
        <v>22.73</v>
      </c>
      <c r="AK15" s="59">
        <v>1.8203</v>
      </c>
      <c r="AL15" s="1">
        <v>1.3748999999999998</v>
      </c>
      <c r="AM15" s="5"/>
    </row>
    <row r="16" spans="1:39" x14ac:dyDescent="0.3">
      <c r="A16" s="8">
        <v>45427</v>
      </c>
      <c r="B16" s="4">
        <v>0.5625</v>
      </c>
      <c r="C16" s="4">
        <v>0.66666666666666663</v>
      </c>
      <c r="D16" s="8">
        <v>45427</v>
      </c>
      <c r="E16" s="1" t="s">
        <v>41</v>
      </c>
      <c r="F16" s="1">
        <v>4</v>
      </c>
      <c r="G16" s="1" t="s">
        <v>42</v>
      </c>
      <c r="H16" s="1" t="s">
        <v>43</v>
      </c>
      <c r="I16" s="1" t="s">
        <v>0</v>
      </c>
      <c r="J16" s="1" t="s">
        <v>0</v>
      </c>
      <c r="K16" s="1" t="s">
        <v>0</v>
      </c>
      <c r="L16" s="1" t="s">
        <v>44</v>
      </c>
      <c r="M16" s="1">
        <f t="shared" si="0"/>
        <v>15</v>
      </c>
      <c r="N16" s="1" t="s">
        <v>19</v>
      </c>
      <c r="O16" s="1">
        <v>1</v>
      </c>
      <c r="P16" s="1">
        <v>121.47</v>
      </c>
      <c r="Q16" s="1">
        <v>33.56</v>
      </c>
      <c r="R16" s="1" t="s">
        <v>0</v>
      </c>
      <c r="S16" s="7">
        <v>2</v>
      </c>
      <c r="T16" s="1" t="s">
        <v>3</v>
      </c>
      <c r="U16" s="1" t="s">
        <v>0</v>
      </c>
      <c r="V16" s="1" t="s">
        <v>1</v>
      </c>
      <c r="W16" s="1">
        <v>59.33</v>
      </c>
      <c r="X16" s="1">
        <v>-1.44</v>
      </c>
      <c r="Y16" s="1">
        <v>0.95</v>
      </c>
      <c r="Z16" s="1">
        <v>43.28</v>
      </c>
      <c r="AA16" s="1">
        <v>0.55000000000000004</v>
      </c>
      <c r="AB16" s="1">
        <v>-0.87</v>
      </c>
      <c r="AC16" s="49">
        <v>45614</v>
      </c>
      <c r="AD16" s="59">
        <v>117.75</v>
      </c>
      <c r="AE16" s="41">
        <v>22.65</v>
      </c>
      <c r="AF16" s="59">
        <v>22.791399999999999</v>
      </c>
      <c r="AG16" s="62">
        <v>4.7755999999999998</v>
      </c>
      <c r="AH16" s="1">
        <v>16.003299999999999</v>
      </c>
      <c r="AI16" s="59">
        <v>115.28</v>
      </c>
      <c r="AJ16" s="56">
        <v>23.12</v>
      </c>
      <c r="AK16" s="62">
        <v>1.8480000000000001</v>
      </c>
      <c r="AL16" s="1">
        <v>1.544</v>
      </c>
      <c r="AM16" s="5"/>
    </row>
    <row r="17" spans="1:39" x14ac:dyDescent="0.3">
      <c r="A17" s="8">
        <v>45427</v>
      </c>
      <c r="B17" s="4">
        <v>0.5625</v>
      </c>
      <c r="C17" s="4">
        <v>0.66666666666666663</v>
      </c>
      <c r="D17" s="8">
        <v>45427</v>
      </c>
      <c r="E17" s="1" t="s">
        <v>41</v>
      </c>
      <c r="F17" s="1">
        <v>4</v>
      </c>
      <c r="G17" s="1" t="s">
        <v>42</v>
      </c>
      <c r="H17" s="1" t="s">
        <v>43</v>
      </c>
      <c r="I17" s="1" t="s">
        <v>0</v>
      </c>
      <c r="J17" s="1" t="s">
        <v>0</v>
      </c>
      <c r="K17" s="1" t="s">
        <v>0</v>
      </c>
      <c r="L17" s="1" t="s">
        <v>44</v>
      </c>
      <c r="M17" s="1">
        <f t="shared" si="0"/>
        <v>16</v>
      </c>
      <c r="N17" s="1" t="s">
        <v>19</v>
      </c>
      <c r="O17" s="1">
        <v>1</v>
      </c>
      <c r="P17" s="1">
        <v>100.34</v>
      </c>
      <c r="Q17" s="1">
        <v>26.07</v>
      </c>
      <c r="R17" s="1" t="s">
        <v>0</v>
      </c>
      <c r="S17" s="7">
        <v>2.4</v>
      </c>
      <c r="T17" s="1" t="s">
        <v>3</v>
      </c>
      <c r="U17" s="1" t="s">
        <v>0</v>
      </c>
      <c r="V17" s="1" t="s">
        <v>1</v>
      </c>
      <c r="W17" s="1">
        <v>56.71</v>
      </c>
      <c r="X17" s="1">
        <v>0.1</v>
      </c>
      <c r="Y17" s="1">
        <v>-1.1599999999999999</v>
      </c>
      <c r="Z17" s="1">
        <v>40.299999999999997</v>
      </c>
      <c r="AA17" s="1">
        <v>2.91</v>
      </c>
      <c r="AB17" s="1">
        <v>-0.13</v>
      </c>
      <c r="AC17" s="49">
        <v>45615</v>
      </c>
      <c r="AD17" s="59">
        <v>76.849999999999994</v>
      </c>
      <c r="AE17" s="42">
        <v>18.899999999999999</v>
      </c>
      <c r="AF17" s="62">
        <v>8.8109000000000002</v>
      </c>
      <c r="AG17" s="59">
        <v>2.0623</v>
      </c>
      <c r="AH17" s="1">
        <v>5.3359000000000005</v>
      </c>
      <c r="AI17" s="60">
        <v>75.02</v>
      </c>
      <c r="AJ17" s="57">
        <v>14.1</v>
      </c>
      <c r="AK17" s="59">
        <v>0.85970000000000002</v>
      </c>
      <c r="AL17" s="1">
        <v>0.70930000000000004</v>
      </c>
      <c r="AM17" s="5" t="s">
        <v>58</v>
      </c>
    </row>
    <row r="18" spans="1:39" x14ac:dyDescent="0.3">
      <c r="A18" s="8">
        <v>45427</v>
      </c>
      <c r="B18" s="4">
        <v>0.5625</v>
      </c>
      <c r="C18" s="4">
        <v>0.66666666666666663</v>
      </c>
      <c r="D18" s="8">
        <v>45427</v>
      </c>
      <c r="E18" s="1" t="s">
        <v>41</v>
      </c>
      <c r="F18" s="1">
        <v>4</v>
      </c>
      <c r="G18" s="1" t="s">
        <v>42</v>
      </c>
      <c r="H18" s="1" t="s">
        <v>43</v>
      </c>
      <c r="I18" s="1" t="s">
        <v>0</v>
      </c>
      <c r="J18" s="1" t="s">
        <v>0</v>
      </c>
      <c r="K18" s="1" t="s">
        <v>0</v>
      </c>
      <c r="L18" s="1" t="s">
        <v>44</v>
      </c>
      <c r="M18" s="1">
        <f t="shared" si="0"/>
        <v>17</v>
      </c>
      <c r="N18" s="1" t="s">
        <v>19</v>
      </c>
      <c r="O18" s="1">
        <v>1</v>
      </c>
      <c r="P18" s="1">
        <v>108.85</v>
      </c>
      <c r="Q18" s="1">
        <v>27.28</v>
      </c>
      <c r="R18" s="1" t="s">
        <v>0</v>
      </c>
      <c r="S18" s="7">
        <v>2.2000000000000002</v>
      </c>
      <c r="T18" s="1" t="s">
        <v>3</v>
      </c>
      <c r="U18" s="1" t="s">
        <v>0</v>
      </c>
      <c r="V18" s="1" t="s">
        <v>1</v>
      </c>
      <c r="W18" s="1">
        <v>62.46</v>
      </c>
      <c r="X18" s="1">
        <v>-1.62</v>
      </c>
      <c r="Y18" s="1">
        <v>3.34</v>
      </c>
      <c r="Z18" s="1">
        <v>43.26</v>
      </c>
      <c r="AA18" s="1">
        <v>0.72</v>
      </c>
      <c r="AB18" s="1">
        <v>-0.14000000000000001</v>
      </c>
      <c r="AC18" s="48">
        <v>45603</v>
      </c>
      <c r="AD18" s="59">
        <v>95.13</v>
      </c>
      <c r="AE18" s="42">
        <v>21.12</v>
      </c>
      <c r="AF18" s="62">
        <v>11.6272</v>
      </c>
      <c r="AG18" s="59">
        <v>3.2244999999999999</v>
      </c>
      <c r="AH18" s="1">
        <v>7.4161999999999999</v>
      </c>
      <c r="AI18" s="59">
        <v>95.58</v>
      </c>
      <c r="AJ18" s="56">
        <v>15.51</v>
      </c>
      <c r="AK18" s="59">
        <v>1.1711</v>
      </c>
      <c r="AL18" s="1">
        <v>0.91090000000000004</v>
      </c>
      <c r="AM18" s="5" t="s">
        <v>55</v>
      </c>
    </row>
    <row r="19" spans="1:39" x14ac:dyDescent="0.3">
      <c r="A19" s="8">
        <v>45427</v>
      </c>
      <c r="B19" s="4">
        <v>0.5625</v>
      </c>
      <c r="C19" s="4">
        <v>0.66666666666666663</v>
      </c>
      <c r="D19" s="8">
        <v>45427</v>
      </c>
      <c r="E19" s="1" t="s">
        <v>41</v>
      </c>
      <c r="F19" s="1">
        <v>4</v>
      </c>
      <c r="G19" s="1" t="s">
        <v>42</v>
      </c>
      <c r="H19" s="1" t="s">
        <v>43</v>
      </c>
      <c r="I19" s="1" t="s">
        <v>0</v>
      </c>
      <c r="J19" s="1" t="s">
        <v>0</v>
      </c>
      <c r="K19" s="1" t="s">
        <v>0</v>
      </c>
      <c r="L19" s="1" t="s">
        <v>44</v>
      </c>
      <c r="M19" s="1">
        <f t="shared" si="0"/>
        <v>18</v>
      </c>
      <c r="N19" s="1" t="s">
        <v>19</v>
      </c>
      <c r="O19" s="1">
        <v>1</v>
      </c>
      <c r="P19" s="1">
        <v>104.29</v>
      </c>
      <c r="Q19" s="1">
        <v>28.1</v>
      </c>
      <c r="R19" s="1" t="s">
        <v>0</v>
      </c>
      <c r="S19" s="7">
        <v>2.2000000000000002</v>
      </c>
      <c r="T19" s="1" t="s">
        <v>3</v>
      </c>
      <c r="U19" s="1" t="s">
        <v>0</v>
      </c>
      <c r="V19" s="1" t="s">
        <v>1</v>
      </c>
      <c r="W19" s="1">
        <v>59.33</v>
      </c>
      <c r="X19" s="1">
        <v>-1.73</v>
      </c>
      <c r="Y19" s="1">
        <v>-1.19</v>
      </c>
      <c r="Z19" s="1">
        <v>44.47</v>
      </c>
      <c r="AA19" s="1">
        <v>-1.18</v>
      </c>
      <c r="AB19" s="1">
        <v>-1.91</v>
      </c>
      <c r="AC19" s="48">
        <v>45603</v>
      </c>
      <c r="AD19" s="59">
        <v>88.09</v>
      </c>
      <c r="AE19" s="41">
        <v>18.28</v>
      </c>
      <c r="AF19" s="59">
        <v>8.9197000000000006</v>
      </c>
      <c r="AG19" s="62">
        <v>2.6137000000000001</v>
      </c>
      <c r="AH19" s="1">
        <v>5.3359000000000005</v>
      </c>
      <c r="AI19" s="59">
        <v>86.66</v>
      </c>
      <c r="AJ19" s="56">
        <v>16.43</v>
      </c>
      <c r="AK19" s="59">
        <v>1.0674999999999999</v>
      </c>
      <c r="AL19" s="1">
        <v>0.83440000000000003</v>
      </c>
      <c r="AM19" s="5"/>
    </row>
    <row r="20" spans="1:39" x14ac:dyDescent="0.3">
      <c r="A20" s="8">
        <v>45427</v>
      </c>
      <c r="B20" s="4">
        <v>0.5625</v>
      </c>
      <c r="C20" s="4">
        <v>0.66666666666666663</v>
      </c>
      <c r="D20" s="8">
        <v>45427</v>
      </c>
      <c r="E20" s="1" t="s">
        <v>41</v>
      </c>
      <c r="F20" s="1">
        <v>4</v>
      </c>
      <c r="G20" s="1" t="s">
        <v>42</v>
      </c>
      <c r="H20" s="1" t="s">
        <v>43</v>
      </c>
      <c r="I20" s="1" t="s">
        <v>0</v>
      </c>
      <c r="J20" s="1" t="s">
        <v>0</v>
      </c>
      <c r="K20" s="1" t="s">
        <v>0</v>
      </c>
      <c r="L20" s="1" t="s">
        <v>44</v>
      </c>
      <c r="M20" s="1">
        <f t="shared" si="0"/>
        <v>19</v>
      </c>
      <c r="N20" s="1" t="s">
        <v>19</v>
      </c>
      <c r="O20" s="1">
        <v>1</v>
      </c>
      <c r="P20" s="1">
        <v>102.46</v>
      </c>
      <c r="Q20" s="1">
        <v>24.28</v>
      </c>
      <c r="R20" s="1" t="s">
        <v>0</v>
      </c>
      <c r="S20" s="7">
        <v>2.4</v>
      </c>
      <c r="T20" s="1" t="s">
        <v>3</v>
      </c>
      <c r="U20" s="1" t="s">
        <v>0</v>
      </c>
      <c r="V20" s="1" t="s">
        <v>1</v>
      </c>
      <c r="W20" s="1">
        <v>53.22</v>
      </c>
      <c r="X20" s="1">
        <v>0.02</v>
      </c>
      <c r="Y20" s="1">
        <v>-1.96</v>
      </c>
      <c r="Z20" s="1">
        <v>44.39</v>
      </c>
      <c r="AA20" s="1">
        <v>0.11</v>
      </c>
      <c r="AB20" s="1">
        <v>-2.34</v>
      </c>
      <c r="AC20" s="48">
        <v>45603</v>
      </c>
      <c r="AD20" s="60">
        <v>85.8</v>
      </c>
      <c r="AE20" s="42">
        <v>16.899999999999999</v>
      </c>
      <c r="AF20" s="62">
        <v>6.8949999999999996</v>
      </c>
      <c r="AG20" s="59">
        <v>2.0485000000000002</v>
      </c>
      <c r="AH20" s="1">
        <v>4.4542999999999999</v>
      </c>
      <c r="AI20" s="60">
        <v>84.3</v>
      </c>
      <c r="AJ20" s="57">
        <v>16.190000000000001</v>
      </c>
      <c r="AK20" s="59">
        <v>0.88990000000000002</v>
      </c>
      <c r="AL20" s="1">
        <v>0.72340000000000004</v>
      </c>
      <c r="AM20" s="5"/>
    </row>
    <row r="21" spans="1:39" x14ac:dyDescent="0.3">
      <c r="A21" s="8">
        <v>45427</v>
      </c>
      <c r="B21" s="4">
        <v>0.5625</v>
      </c>
      <c r="C21" s="4">
        <v>0.66666666666666663</v>
      </c>
      <c r="D21" s="8">
        <v>45427</v>
      </c>
      <c r="E21" s="1" t="s">
        <v>41</v>
      </c>
      <c r="F21" s="1">
        <v>4</v>
      </c>
      <c r="G21" s="1" t="s">
        <v>42</v>
      </c>
      <c r="H21" s="1" t="s">
        <v>43</v>
      </c>
      <c r="I21" s="1" t="s">
        <v>0</v>
      </c>
      <c r="J21" s="1" t="s">
        <v>0</v>
      </c>
      <c r="K21" s="1" t="s">
        <v>0</v>
      </c>
      <c r="L21" s="1" t="s">
        <v>44</v>
      </c>
      <c r="M21" s="1">
        <f t="shared" si="0"/>
        <v>20</v>
      </c>
      <c r="N21" s="1" t="s">
        <v>19</v>
      </c>
      <c r="O21" s="1">
        <v>1</v>
      </c>
      <c r="P21" s="1">
        <v>121.72</v>
      </c>
      <c r="Q21" s="1">
        <v>33.869999999999997</v>
      </c>
      <c r="R21" s="1" t="s">
        <v>0</v>
      </c>
      <c r="S21" s="7">
        <v>2.2000000000000002</v>
      </c>
      <c r="T21" s="1" t="s">
        <v>3</v>
      </c>
      <c r="U21" s="1" t="s">
        <v>0</v>
      </c>
      <c r="V21" s="1" t="s">
        <v>4</v>
      </c>
      <c r="W21" s="1">
        <v>62.47</v>
      </c>
      <c r="X21" s="1">
        <v>-2.61</v>
      </c>
      <c r="Y21" s="1">
        <v>0.36</v>
      </c>
      <c r="Z21" s="1">
        <v>43.81</v>
      </c>
      <c r="AA21" s="1">
        <v>-1.17</v>
      </c>
      <c r="AB21" s="1">
        <v>-2.14</v>
      </c>
      <c r="AC21" s="48">
        <v>45603</v>
      </c>
      <c r="AD21" s="59">
        <v>115.79</v>
      </c>
      <c r="AE21" s="41">
        <v>23.62</v>
      </c>
      <c r="AF21" s="59">
        <v>18.395199999999999</v>
      </c>
      <c r="AG21" s="59">
        <v>4.6593</v>
      </c>
      <c r="AH21" s="1">
        <v>12.685700000000001</v>
      </c>
      <c r="AI21" s="59">
        <v>114.14</v>
      </c>
      <c r="AJ21" s="56">
        <v>23.54</v>
      </c>
      <c r="AK21" s="59">
        <v>2.0068999999999999</v>
      </c>
      <c r="AL21" s="1">
        <v>1.6774</v>
      </c>
      <c r="AM21" s="5"/>
    </row>
    <row r="22" spans="1:39" x14ac:dyDescent="0.3">
      <c r="A22" s="8">
        <v>45427</v>
      </c>
      <c r="B22" s="4">
        <v>0.52083333333333337</v>
      </c>
      <c r="C22" s="4">
        <v>0.625</v>
      </c>
      <c r="D22" s="8">
        <v>45427</v>
      </c>
      <c r="E22" s="1" t="s">
        <v>41</v>
      </c>
      <c r="F22" s="1">
        <v>4</v>
      </c>
      <c r="G22" s="1" t="s">
        <v>42</v>
      </c>
      <c r="H22" s="1" t="s">
        <v>43</v>
      </c>
      <c r="I22" s="1" t="s">
        <v>0</v>
      </c>
      <c r="J22" s="1" t="s">
        <v>0</v>
      </c>
      <c r="K22" s="1" t="s">
        <v>0</v>
      </c>
      <c r="L22" s="1" t="s">
        <v>44</v>
      </c>
      <c r="M22" s="1">
        <f t="shared" si="0"/>
        <v>21</v>
      </c>
      <c r="N22" s="1" t="s">
        <v>19</v>
      </c>
      <c r="O22" s="1">
        <v>1</v>
      </c>
      <c r="P22" s="1">
        <v>107.39</v>
      </c>
      <c r="Q22" s="1">
        <v>25.07</v>
      </c>
      <c r="R22" s="1" t="s">
        <v>0</v>
      </c>
      <c r="S22" s="7">
        <v>2.2000000000000002</v>
      </c>
      <c r="T22" s="1" t="s">
        <v>3</v>
      </c>
      <c r="U22" s="1" t="s">
        <v>0</v>
      </c>
      <c r="V22" s="1" t="s">
        <v>4</v>
      </c>
      <c r="W22" s="1">
        <v>57.81</v>
      </c>
      <c r="X22" s="1">
        <v>-0.76</v>
      </c>
      <c r="Y22" s="1">
        <v>-1.19</v>
      </c>
      <c r="Z22" s="1">
        <v>42.6</v>
      </c>
      <c r="AA22" s="1">
        <v>1.59</v>
      </c>
      <c r="AB22" s="1">
        <v>-1.27</v>
      </c>
      <c r="AC22" s="49">
        <v>45614</v>
      </c>
      <c r="AD22" s="59">
        <v>85.43</v>
      </c>
      <c r="AE22" s="41">
        <v>20.73</v>
      </c>
      <c r="AF22" s="59">
        <v>13.090199999999999</v>
      </c>
      <c r="AG22" s="62">
        <v>3.2082999999999999</v>
      </c>
      <c r="AH22" s="1">
        <v>8.8929000000000009</v>
      </c>
      <c r="AI22" s="59">
        <v>84.63</v>
      </c>
      <c r="AJ22" s="56">
        <v>18.170000000000002</v>
      </c>
      <c r="AK22" s="59">
        <v>1.2970999999999999</v>
      </c>
      <c r="AL22" s="1">
        <v>0.95569999999999999</v>
      </c>
      <c r="AM22" s="5"/>
    </row>
    <row r="23" spans="1:39" x14ac:dyDescent="0.3">
      <c r="A23" s="8">
        <v>45427</v>
      </c>
      <c r="B23" s="4">
        <v>0.52083333333333337</v>
      </c>
      <c r="C23" s="4">
        <v>0.625</v>
      </c>
      <c r="D23" s="8">
        <v>45427</v>
      </c>
      <c r="E23" s="1" t="s">
        <v>41</v>
      </c>
      <c r="F23" s="1">
        <v>4</v>
      </c>
      <c r="G23" s="1" t="s">
        <v>42</v>
      </c>
      <c r="H23" s="1" t="s">
        <v>43</v>
      </c>
      <c r="I23" s="1" t="s">
        <v>0</v>
      </c>
      <c r="J23" s="1" t="s">
        <v>0</v>
      </c>
      <c r="K23" s="1" t="s">
        <v>0</v>
      </c>
      <c r="L23" s="1" t="s">
        <v>44</v>
      </c>
      <c r="M23" s="1">
        <f t="shared" si="0"/>
        <v>22</v>
      </c>
      <c r="N23" s="1" t="s">
        <v>19</v>
      </c>
      <c r="O23" s="1">
        <v>1</v>
      </c>
      <c r="P23" s="1">
        <v>113.03</v>
      </c>
      <c r="Q23" s="1">
        <v>27.62</v>
      </c>
      <c r="R23" s="1" t="s">
        <v>0</v>
      </c>
      <c r="S23" s="7">
        <v>2</v>
      </c>
      <c r="T23" s="1" t="s">
        <v>3</v>
      </c>
      <c r="U23" s="1" t="s">
        <v>0</v>
      </c>
      <c r="V23" s="1" t="s">
        <v>1</v>
      </c>
      <c r="W23" s="1">
        <v>57.57</v>
      </c>
      <c r="X23" s="1">
        <v>-0.42</v>
      </c>
      <c r="Y23" s="1">
        <v>-2.2000000000000002</v>
      </c>
      <c r="Z23" s="1">
        <v>44.57</v>
      </c>
      <c r="AA23" s="1">
        <v>1.94</v>
      </c>
      <c r="AB23" s="1">
        <v>-2.58</v>
      </c>
      <c r="AC23" s="49">
        <v>45615</v>
      </c>
      <c r="AD23" s="60">
        <v>104.88</v>
      </c>
      <c r="AE23" s="42">
        <v>23.2</v>
      </c>
      <c r="AF23" s="62">
        <v>10.150700000000001</v>
      </c>
      <c r="AG23" s="62">
        <v>3.3370000000000002</v>
      </c>
      <c r="AH23" s="1">
        <v>6.6102000000000007</v>
      </c>
      <c r="AI23" s="59">
        <v>103.45</v>
      </c>
      <c r="AJ23" s="56">
        <v>20.47</v>
      </c>
      <c r="AK23" s="62">
        <v>1.5149999999999999</v>
      </c>
      <c r="AL23" s="1">
        <v>1.1856</v>
      </c>
      <c r="AM23" s="5"/>
    </row>
    <row r="24" spans="1:39" x14ac:dyDescent="0.3">
      <c r="A24" s="8">
        <v>45427</v>
      </c>
      <c r="B24" s="4">
        <v>0.52083333333333337</v>
      </c>
      <c r="C24" s="4">
        <v>0.625</v>
      </c>
      <c r="D24" s="8">
        <v>45427</v>
      </c>
      <c r="E24" s="1" t="s">
        <v>41</v>
      </c>
      <c r="F24" s="1">
        <v>4</v>
      </c>
      <c r="G24" s="1" t="s">
        <v>42</v>
      </c>
      <c r="H24" s="1" t="s">
        <v>43</v>
      </c>
      <c r="I24" s="1" t="s">
        <v>0</v>
      </c>
      <c r="J24" s="1" t="s">
        <v>0</v>
      </c>
      <c r="K24" s="1" t="s">
        <v>0</v>
      </c>
      <c r="L24" s="1" t="s">
        <v>44</v>
      </c>
      <c r="M24" s="1">
        <f t="shared" si="0"/>
        <v>23</v>
      </c>
      <c r="N24" s="1" t="s">
        <v>19</v>
      </c>
      <c r="O24" s="1">
        <v>3</v>
      </c>
      <c r="P24" s="1">
        <v>113.56</v>
      </c>
      <c r="Q24" s="1">
        <v>27.82</v>
      </c>
      <c r="R24" s="1" t="s">
        <v>0</v>
      </c>
      <c r="S24" s="7">
        <v>4.4000000000000004</v>
      </c>
      <c r="T24" s="1" t="s">
        <v>3</v>
      </c>
      <c r="U24" s="1" t="s">
        <v>0</v>
      </c>
      <c r="V24" s="1" t="s">
        <v>1</v>
      </c>
      <c r="W24" s="1">
        <v>62.26</v>
      </c>
      <c r="X24" s="1">
        <v>-2.2000000000000002</v>
      </c>
      <c r="Y24" s="1">
        <v>6.52</v>
      </c>
      <c r="Z24" s="1">
        <v>46.11</v>
      </c>
      <c r="AA24" s="1">
        <v>1.2</v>
      </c>
      <c r="AB24" s="1">
        <v>0.65</v>
      </c>
      <c r="AC24" s="48">
        <v>45603</v>
      </c>
      <c r="AD24" s="59">
        <v>116.16</v>
      </c>
      <c r="AE24" s="41">
        <v>21.61</v>
      </c>
      <c r="AF24" s="59">
        <v>18.724299999999999</v>
      </c>
      <c r="AG24" s="59">
        <v>6.7488000000000001</v>
      </c>
      <c r="AH24" s="1">
        <v>11.081100000000001</v>
      </c>
      <c r="AI24" s="59">
        <v>115.21</v>
      </c>
      <c r="AJ24" s="56">
        <v>23.84</v>
      </c>
      <c r="AK24" s="62">
        <v>3.2261000000000002</v>
      </c>
      <c r="AL24" s="1">
        <v>2.2584999999999997</v>
      </c>
      <c r="AM24" s="5" t="s">
        <v>56</v>
      </c>
    </row>
    <row r="25" spans="1:39" x14ac:dyDescent="0.3">
      <c r="A25" s="8">
        <v>45427</v>
      </c>
      <c r="B25" s="4">
        <v>0.52083333333333337</v>
      </c>
      <c r="C25" s="4">
        <v>0.625</v>
      </c>
      <c r="D25" s="8">
        <v>45427</v>
      </c>
      <c r="E25" s="1" t="s">
        <v>41</v>
      </c>
      <c r="F25" s="1" t="s">
        <v>0</v>
      </c>
      <c r="G25" s="1" t="s">
        <v>42</v>
      </c>
      <c r="H25" s="1" t="s">
        <v>43</v>
      </c>
      <c r="I25" s="1" t="s">
        <v>0</v>
      </c>
      <c r="J25" s="1" t="s">
        <v>0</v>
      </c>
      <c r="K25" s="1" t="s">
        <v>0</v>
      </c>
      <c r="L25" s="1" t="s">
        <v>44</v>
      </c>
      <c r="M25" s="1">
        <f t="shared" si="0"/>
        <v>24</v>
      </c>
      <c r="N25" s="1" t="s">
        <v>19</v>
      </c>
      <c r="O25" s="1" t="s">
        <v>2</v>
      </c>
      <c r="P25" s="1">
        <v>117.31</v>
      </c>
      <c r="Q25" s="1">
        <v>31.74</v>
      </c>
      <c r="R25" s="1" t="s">
        <v>0</v>
      </c>
      <c r="S25" s="7">
        <v>4.5999999999999996</v>
      </c>
      <c r="T25" s="1" t="s">
        <v>3</v>
      </c>
      <c r="U25" s="1" t="s">
        <v>0</v>
      </c>
      <c r="V25" s="1" t="s">
        <v>10</v>
      </c>
      <c r="W25" s="1">
        <v>54.07</v>
      </c>
      <c r="X25" s="1">
        <v>0.74</v>
      </c>
      <c r="Y25" s="1">
        <v>19.77</v>
      </c>
      <c r="Z25" s="1">
        <v>45.99</v>
      </c>
      <c r="AA25" s="1">
        <v>0.56999999999999995</v>
      </c>
      <c r="AB25" s="1">
        <v>6.84</v>
      </c>
      <c r="AC25" s="49">
        <v>45614</v>
      </c>
      <c r="AD25" s="59">
        <v>122.14</v>
      </c>
      <c r="AE25" s="41">
        <v>23.32</v>
      </c>
      <c r="AF25" s="59">
        <v>24.0947</v>
      </c>
      <c r="AG25" s="59">
        <v>6.9781000000000004</v>
      </c>
      <c r="AH25" s="1">
        <v>16.7455</v>
      </c>
      <c r="AI25" s="59">
        <v>121.17</v>
      </c>
      <c r="AJ25" s="56">
        <v>25.68</v>
      </c>
      <c r="AK25" s="59">
        <v>3.6659000000000002</v>
      </c>
      <c r="AL25" s="1">
        <v>3.2182000000000004</v>
      </c>
      <c r="AM25" s="5"/>
    </row>
    <row r="26" spans="1:39" x14ac:dyDescent="0.3">
      <c r="A26" s="8">
        <v>45427</v>
      </c>
      <c r="B26" s="4">
        <v>0.52083333333333337</v>
      </c>
      <c r="C26" s="4">
        <v>0.625</v>
      </c>
      <c r="D26" s="8">
        <v>45427</v>
      </c>
      <c r="E26" s="1" t="s">
        <v>41</v>
      </c>
      <c r="F26" s="1" t="s">
        <v>0</v>
      </c>
      <c r="G26" s="1" t="s">
        <v>42</v>
      </c>
      <c r="H26" s="1" t="s">
        <v>43</v>
      </c>
      <c r="I26" s="1" t="s">
        <v>0</v>
      </c>
      <c r="J26" s="1" t="s">
        <v>0</v>
      </c>
      <c r="K26" s="1" t="s">
        <v>0</v>
      </c>
      <c r="L26" s="1" t="s">
        <v>44</v>
      </c>
      <c r="M26" s="1">
        <f t="shared" si="0"/>
        <v>25</v>
      </c>
      <c r="N26" s="1" t="s">
        <v>19</v>
      </c>
      <c r="O26" s="1">
        <v>2</v>
      </c>
      <c r="P26" s="1">
        <v>109.8</v>
      </c>
      <c r="Q26" s="1">
        <v>26.28</v>
      </c>
      <c r="R26" s="1" t="s">
        <v>0</v>
      </c>
      <c r="S26" s="7">
        <v>5</v>
      </c>
      <c r="T26" s="1" t="s">
        <v>3</v>
      </c>
      <c r="U26" s="1" t="s">
        <v>0</v>
      </c>
      <c r="V26" s="1" t="s">
        <v>1</v>
      </c>
      <c r="W26" s="1">
        <v>60.78</v>
      </c>
      <c r="X26" s="1">
        <v>-1.71</v>
      </c>
      <c r="Y26" s="1">
        <v>7.26</v>
      </c>
      <c r="Z26" s="1">
        <v>45.83</v>
      </c>
      <c r="AA26" s="1">
        <v>2.98</v>
      </c>
      <c r="AB26" s="1">
        <v>3.39</v>
      </c>
      <c r="AC26" s="49">
        <v>45614</v>
      </c>
      <c r="AD26" s="59">
        <v>97.48</v>
      </c>
      <c r="AE26" s="41">
        <v>17.71</v>
      </c>
      <c r="AF26" s="59">
        <v>12.6671</v>
      </c>
      <c r="AG26" s="59">
        <v>4.5491000000000001</v>
      </c>
      <c r="AH26" s="1">
        <v>7.3360000000000003</v>
      </c>
      <c r="AI26" s="60">
        <v>96.6</v>
      </c>
      <c r="AJ26" s="57">
        <v>18.399999999999999</v>
      </c>
      <c r="AK26" s="59">
        <v>2.2378</v>
      </c>
      <c r="AL26" s="1">
        <v>1.2716000000000001</v>
      </c>
      <c r="AM26" s="5"/>
    </row>
    <row r="27" spans="1:39" x14ac:dyDescent="0.3">
      <c r="A27" s="8">
        <v>45427</v>
      </c>
      <c r="B27" s="4">
        <v>0.52083333333333337</v>
      </c>
      <c r="C27" s="4">
        <v>0.625</v>
      </c>
      <c r="D27" s="8">
        <v>45427</v>
      </c>
      <c r="E27" s="1" t="s">
        <v>41</v>
      </c>
      <c r="F27" s="1" t="s">
        <v>0</v>
      </c>
      <c r="G27" s="1" t="s">
        <v>42</v>
      </c>
      <c r="H27" s="1" t="s">
        <v>43</v>
      </c>
      <c r="I27" s="1" t="s">
        <v>0</v>
      </c>
      <c r="J27" s="1" t="s">
        <v>0</v>
      </c>
      <c r="K27" s="1" t="s">
        <v>0</v>
      </c>
      <c r="L27" s="1" t="s">
        <v>44</v>
      </c>
      <c r="M27" s="1">
        <f t="shared" si="0"/>
        <v>26</v>
      </c>
      <c r="N27" s="1" t="s">
        <v>19</v>
      </c>
      <c r="O27" s="1">
        <v>3</v>
      </c>
      <c r="P27" s="1">
        <v>91.35</v>
      </c>
      <c r="Q27" s="1">
        <v>23.57</v>
      </c>
      <c r="R27" s="1" t="s">
        <v>0</v>
      </c>
      <c r="S27" s="7">
        <v>5.6</v>
      </c>
      <c r="T27" s="1" t="s">
        <v>3</v>
      </c>
      <c r="U27" s="1" t="s">
        <v>0</v>
      </c>
      <c r="V27" s="1" t="s">
        <v>9</v>
      </c>
      <c r="W27" s="1">
        <v>54.5</v>
      </c>
      <c r="X27" s="1">
        <v>-1.1499999999999999</v>
      </c>
      <c r="Y27" s="1">
        <v>14.09</v>
      </c>
      <c r="Z27" s="1">
        <v>46.53</v>
      </c>
      <c r="AA27" s="1">
        <v>-0.59</v>
      </c>
      <c r="AB27" s="1">
        <v>8.2200000000000006</v>
      </c>
      <c r="AC27" s="49">
        <v>45614</v>
      </c>
      <c r="AD27" s="59">
        <v>83.46</v>
      </c>
      <c r="AE27" s="41">
        <v>19.260000000000002</v>
      </c>
      <c r="AF27" s="59">
        <v>11.684699999999999</v>
      </c>
      <c r="AG27" s="59">
        <v>3.6585000000000001</v>
      </c>
      <c r="AH27" s="1">
        <v>7.4664000000000001</v>
      </c>
      <c r="AI27" s="59">
        <v>82.43</v>
      </c>
      <c r="AJ27" s="56">
        <v>20.02</v>
      </c>
      <c r="AK27" s="59">
        <v>2.0644</v>
      </c>
      <c r="AL27" s="1">
        <v>1.5010999999999999</v>
      </c>
      <c r="AM27" s="5"/>
    </row>
    <row r="28" spans="1:39" x14ac:dyDescent="0.3">
      <c r="A28" s="8">
        <v>45427</v>
      </c>
      <c r="B28" s="4">
        <v>0.52083333333333337</v>
      </c>
      <c r="C28" s="4">
        <v>0.625</v>
      </c>
      <c r="D28" s="8">
        <v>45427</v>
      </c>
      <c r="E28" s="1" t="s">
        <v>41</v>
      </c>
      <c r="F28" s="1" t="s">
        <v>0</v>
      </c>
      <c r="G28" s="1" t="s">
        <v>42</v>
      </c>
      <c r="H28" s="1" t="s">
        <v>43</v>
      </c>
      <c r="I28" s="1" t="s">
        <v>0</v>
      </c>
      <c r="J28" s="1" t="s">
        <v>0</v>
      </c>
      <c r="K28" s="1" t="s">
        <v>0</v>
      </c>
      <c r="L28" s="1" t="s">
        <v>44</v>
      </c>
      <c r="M28" s="1">
        <f t="shared" si="0"/>
        <v>27</v>
      </c>
      <c r="N28" s="1" t="s">
        <v>19</v>
      </c>
      <c r="O28" s="1">
        <v>4</v>
      </c>
      <c r="P28" s="1">
        <v>96.37</v>
      </c>
      <c r="Q28" s="1">
        <v>24.2</v>
      </c>
      <c r="R28" s="1" t="s">
        <v>0</v>
      </c>
      <c r="S28" s="7">
        <v>6.2</v>
      </c>
      <c r="T28" s="1" t="s">
        <v>3</v>
      </c>
      <c r="U28" s="1" t="s">
        <v>0</v>
      </c>
      <c r="V28" s="1" t="s">
        <v>8</v>
      </c>
      <c r="W28" s="1">
        <v>50.98</v>
      </c>
      <c r="X28" s="1">
        <v>-0.06</v>
      </c>
      <c r="Y28" s="1">
        <v>12.51</v>
      </c>
      <c r="Z28" s="1">
        <v>45.77</v>
      </c>
      <c r="AA28" s="1">
        <v>0.32</v>
      </c>
      <c r="AB28" s="1">
        <v>8.6199999999999992</v>
      </c>
      <c r="AC28" s="49">
        <v>45610</v>
      </c>
      <c r="AD28" s="59">
        <v>97.78</v>
      </c>
      <c r="AE28" s="41">
        <v>19.149999999999999</v>
      </c>
      <c r="AF28" s="59">
        <v>12.825699999999999</v>
      </c>
      <c r="AG28" s="59">
        <v>4.4085999999999999</v>
      </c>
      <c r="AH28" s="1">
        <v>7.7242999999999995</v>
      </c>
      <c r="AI28" s="59">
        <v>96.02</v>
      </c>
      <c r="AJ28" s="56">
        <v>20.03</v>
      </c>
      <c r="AK28" s="59">
        <v>2.0566</v>
      </c>
      <c r="AL28" s="1">
        <v>1.7377000000000002</v>
      </c>
      <c r="AM28" s="5" t="s">
        <v>59</v>
      </c>
    </row>
    <row r="29" spans="1:39" x14ac:dyDescent="0.3">
      <c r="A29" s="8">
        <v>45427</v>
      </c>
      <c r="B29" s="4">
        <v>0.52083333333333337</v>
      </c>
      <c r="C29" s="4">
        <v>0.625</v>
      </c>
      <c r="D29" s="8">
        <v>45427</v>
      </c>
      <c r="E29" s="1" t="s">
        <v>41</v>
      </c>
      <c r="F29" s="1" t="s">
        <v>0</v>
      </c>
      <c r="G29" s="1" t="s">
        <v>42</v>
      </c>
      <c r="H29" s="1" t="s">
        <v>43</v>
      </c>
      <c r="I29" s="1" t="s">
        <v>0</v>
      </c>
      <c r="J29" s="1" t="s">
        <v>0</v>
      </c>
      <c r="K29" s="1" t="s">
        <v>0</v>
      </c>
      <c r="L29" s="1" t="s">
        <v>44</v>
      </c>
      <c r="M29" s="1">
        <f t="shared" si="0"/>
        <v>28</v>
      </c>
      <c r="N29" s="1" t="s">
        <v>19</v>
      </c>
      <c r="O29" s="1">
        <v>3</v>
      </c>
      <c r="P29" s="1">
        <v>109.28</v>
      </c>
      <c r="Q29" s="1">
        <v>27.46</v>
      </c>
      <c r="R29" s="1" t="s">
        <v>0</v>
      </c>
      <c r="S29" s="7">
        <v>6.4</v>
      </c>
      <c r="T29" s="1" t="s">
        <v>3</v>
      </c>
      <c r="U29" s="1" t="s">
        <v>0</v>
      </c>
      <c r="V29" s="1" t="s">
        <v>47</v>
      </c>
      <c r="W29" s="1">
        <v>57.51</v>
      </c>
      <c r="X29" s="1">
        <v>-0.83</v>
      </c>
      <c r="Y29" s="1">
        <v>15.9</v>
      </c>
      <c r="Z29" s="1">
        <v>47.37</v>
      </c>
      <c r="AA29" s="1">
        <v>-1.33</v>
      </c>
      <c r="AB29" s="1">
        <v>4.9000000000000004</v>
      </c>
      <c r="AC29" s="49">
        <v>45614</v>
      </c>
      <c r="AD29" s="59">
        <v>100.67</v>
      </c>
      <c r="AE29" s="41">
        <v>20.74</v>
      </c>
      <c r="AF29" s="59">
        <v>16.5642</v>
      </c>
      <c r="AG29" s="59">
        <v>5.7493999999999996</v>
      </c>
      <c r="AH29" s="1">
        <v>10.457599999999999</v>
      </c>
      <c r="AI29" s="59">
        <v>99.45</v>
      </c>
      <c r="AJ29" s="56">
        <v>21.67</v>
      </c>
      <c r="AK29" s="59">
        <v>2.8157999999999999</v>
      </c>
      <c r="AL29" s="1">
        <v>2.2357</v>
      </c>
      <c r="AM29" s="5" t="s">
        <v>59</v>
      </c>
    </row>
    <row r="30" spans="1:39" x14ac:dyDescent="0.3">
      <c r="A30" s="8">
        <v>45427</v>
      </c>
      <c r="B30" s="4">
        <v>0.52083333333333337</v>
      </c>
      <c r="C30" s="4">
        <v>0.625</v>
      </c>
      <c r="D30" s="8">
        <v>45427</v>
      </c>
      <c r="E30" s="1" t="s">
        <v>41</v>
      </c>
      <c r="F30" s="1" t="s">
        <v>0</v>
      </c>
      <c r="G30" s="1" t="s">
        <v>42</v>
      </c>
      <c r="H30" s="1" t="s">
        <v>43</v>
      </c>
      <c r="I30" s="1" t="s">
        <v>0</v>
      </c>
      <c r="J30" s="1" t="s">
        <v>0</v>
      </c>
      <c r="K30" s="1" t="s">
        <v>0</v>
      </c>
      <c r="L30" s="1" t="s">
        <v>44</v>
      </c>
      <c r="M30" s="1">
        <f t="shared" si="0"/>
        <v>29</v>
      </c>
      <c r="N30" s="1" t="s">
        <v>19</v>
      </c>
      <c r="O30" s="1">
        <v>3</v>
      </c>
      <c r="P30" s="1">
        <v>110.17</v>
      </c>
      <c r="Q30" s="1">
        <v>25.64</v>
      </c>
      <c r="R30" s="1" t="s">
        <v>0</v>
      </c>
      <c r="S30" s="7">
        <v>5.2</v>
      </c>
      <c r="T30" s="1" t="s">
        <v>3</v>
      </c>
      <c r="U30" s="1" t="s">
        <v>0</v>
      </c>
      <c r="V30" s="1" t="s">
        <v>1</v>
      </c>
      <c r="W30" s="1">
        <v>62.03</v>
      </c>
      <c r="X30" s="1">
        <v>-1.96</v>
      </c>
      <c r="Y30" s="1">
        <v>15.74</v>
      </c>
      <c r="Z30" s="1">
        <v>48.3</v>
      </c>
      <c r="AA30" s="1">
        <v>-0.01</v>
      </c>
      <c r="AB30" s="1">
        <v>2.37</v>
      </c>
      <c r="AC30" s="49">
        <v>45615</v>
      </c>
      <c r="AD30" s="60">
        <v>100</v>
      </c>
      <c r="AE30" s="41">
        <v>21.02</v>
      </c>
      <c r="AF30" s="59">
        <v>16.044699999999999</v>
      </c>
      <c r="AG30" s="59">
        <v>5.1829000000000001</v>
      </c>
      <c r="AH30" s="1">
        <v>10.0937</v>
      </c>
      <c r="AI30" s="59">
        <v>99.72</v>
      </c>
      <c r="AJ30" s="56">
        <v>21.44</v>
      </c>
      <c r="AK30" s="62">
        <v>2.8511000000000002</v>
      </c>
      <c r="AL30" s="1">
        <v>2.1492</v>
      </c>
      <c r="AM30" s="5" t="s">
        <v>59</v>
      </c>
    </row>
    <row r="31" spans="1:39" x14ac:dyDescent="0.3">
      <c r="A31" s="8">
        <v>45427</v>
      </c>
      <c r="B31" s="4">
        <v>0.52083333333333337</v>
      </c>
      <c r="C31" s="4">
        <v>0.625</v>
      </c>
      <c r="D31" s="8">
        <v>45427</v>
      </c>
      <c r="E31" s="1" t="s">
        <v>41</v>
      </c>
      <c r="F31" s="1" t="s">
        <v>0</v>
      </c>
      <c r="G31" s="1" t="s">
        <v>42</v>
      </c>
      <c r="H31" s="1" t="s">
        <v>43</v>
      </c>
      <c r="I31" s="1" t="s">
        <v>0</v>
      </c>
      <c r="J31" s="1" t="s">
        <v>0</v>
      </c>
      <c r="K31" s="1" t="s">
        <v>0</v>
      </c>
      <c r="L31" s="1" t="s">
        <v>44</v>
      </c>
      <c r="M31" s="1">
        <f t="shared" si="0"/>
        <v>30</v>
      </c>
      <c r="N31" s="1" t="s">
        <v>19</v>
      </c>
      <c r="O31" s="1">
        <v>2</v>
      </c>
      <c r="P31" s="1">
        <v>100.53</v>
      </c>
      <c r="Q31" s="1">
        <v>20.2</v>
      </c>
      <c r="R31" s="1" t="s">
        <v>0</v>
      </c>
      <c r="S31" s="7">
        <v>5</v>
      </c>
      <c r="T31" s="1" t="s">
        <v>3</v>
      </c>
      <c r="U31" s="1" t="s">
        <v>0</v>
      </c>
      <c r="V31" s="1" t="s">
        <v>1</v>
      </c>
      <c r="W31" s="1">
        <v>62.01</v>
      </c>
      <c r="X31" s="1">
        <v>-2.5099999999999998</v>
      </c>
      <c r="Y31" s="1">
        <v>8.42</v>
      </c>
      <c r="Z31" s="1">
        <v>46.95</v>
      </c>
      <c r="AA31" s="1">
        <v>-1.1000000000000001</v>
      </c>
      <c r="AB31" s="1">
        <v>-0.83</v>
      </c>
      <c r="AC31" s="49">
        <v>45615</v>
      </c>
      <c r="AD31" s="60">
        <v>89.6</v>
      </c>
      <c r="AE31" s="41">
        <v>19.309999999999999</v>
      </c>
      <c r="AF31" s="59">
        <v>13.2121</v>
      </c>
      <c r="AG31" s="59">
        <v>4.0541</v>
      </c>
      <c r="AH31" s="1">
        <v>8.8093000000000004</v>
      </c>
      <c r="AI31" s="59">
        <v>87.49</v>
      </c>
      <c r="AJ31" s="56">
        <v>20.149999999999999</v>
      </c>
      <c r="AK31" s="59">
        <v>2.1436999999999999</v>
      </c>
      <c r="AL31" s="1">
        <v>1.5878000000000001</v>
      </c>
      <c r="AM31" s="5"/>
    </row>
    <row r="32" spans="1:39" x14ac:dyDescent="0.3">
      <c r="A32" s="8">
        <v>45427</v>
      </c>
      <c r="B32" s="4">
        <v>0.52083333333333337</v>
      </c>
      <c r="C32" s="4">
        <v>0.625</v>
      </c>
      <c r="D32" s="8">
        <v>45427</v>
      </c>
      <c r="E32" s="1" t="s">
        <v>41</v>
      </c>
      <c r="F32" s="1" t="s">
        <v>0</v>
      </c>
      <c r="G32" s="1" t="s">
        <v>42</v>
      </c>
      <c r="H32" s="1" t="s">
        <v>43</v>
      </c>
      <c r="I32" s="1" t="s">
        <v>0</v>
      </c>
      <c r="J32" s="1" t="s">
        <v>0</v>
      </c>
      <c r="K32" s="1" t="s">
        <v>0</v>
      </c>
      <c r="L32" s="1" t="s">
        <v>44</v>
      </c>
      <c r="M32" s="1">
        <f>(M31+1)</f>
        <v>31</v>
      </c>
      <c r="N32" s="1" t="s">
        <v>19</v>
      </c>
      <c r="O32" s="1">
        <v>3</v>
      </c>
      <c r="P32" s="1">
        <v>105.67</v>
      </c>
      <c r="Q32" s="1">
        <v>25.16</v>
      </c>
      <c r="R32" s="1" t="s">
        <v>0</v>
      </c>
      <c r="S32" s="7">
        <v>5</v>
      </c>
      <c r="T32" s="1" t="s">
        <v>3</v>
      </c>
      <c r="U32" s="1" t="s">
        <v>0</v>
      </c>
      <c r="V32" s="1" t="s">
        <v>1</v>
      </c>
      <c r="W32" s="1">
        <v>60.29</v>
      </c>
      <c r="X32" s="1">
        <v>-2.67</v>
      </c>
      <c r="Y32" s="1">
        <v>7.95</v>
      </c>
      <c r="Z32" s="1">
        <v>48.77</v>
      </c>
      <c r="AA32" s="1">
        <v>-1.9</v>
      </c>
      <c r="AB32" s="1">
        <v>0.13</v>
      </c>
      <c r="AC32" s="49">
        <v>45615</v>
      </c>
      <c r="AD32" s="60">
        <v>99.92</v>
      </c>
      <c r="AE32" s="41">
        <v>20.329999999999998</v>
      </c>
      <c r="AF32" s="59">
        <v>14.7074</v>
      </c>
      <c r="AG32" s="59">
        <v>4.7702999999999998</v>
      </c>
      <c r="AH32" s="1">
        <v>9.339599999999999</v>
      </c>
      <c r="AI32" s="59">
        <v>99.88</v>
      </c>
      <c r="AJ32" s="56">
        <v>20.46</v>
      </c>
      <c r="AK32" s="59">
        <v>2.6324000000000001</v>
      </c>
      <c r="AL32" s="1">
        <v>1.976</v>
      </c>
      <c r="AM32" s="5"/>
    </row>
    <row r="33" spans="1:39" x14ac:dyDescent="0.3">
      <c r="A33" s="8">
        <v>45427</v>
      </c>
      <c r="B33" s="4">
        <v>0.52083333333333337</v>
      </c>
      <c r="C33" s="4">
        <v>0.625</v>
      </c>
      <c r="D33" s="8">
        <v>45427</v>
      </c>
      <c r="E33" s="1" t="s">
        <v>41</v>
      </c>
      <c r="F33" s="1" t="s">
        <v>0</v>
      </c>
      <c r="G33" s="1" t="s">
        <v>42</v>
      </c>
      <c r="H33" s="1" t="s">
        <v>43</v>
      </c>
      <c r="I33" s="1" t="s">
        <v>0</v>
      </c>
      <c r="J33" s="1" t="s">
        <v>0</v>
      </c>
      <c r="K33" s="1" t="s">
        <v>0</v>
      </c>
      <c r="L33" s="1" t="s">
        <v>44</v>
      </c>
      <c r="M33" s="1">
        <f t="shared" si="0"/>
        <v>32</v>
      </c>
      <c r="N33" s="1" t="s">
        <v>19</v>
      </c>
      <c r="O33" s="1">
        <v>3</v>
      </c>
      <c r="P33" s="1">
        <v>113.67</v>
      </c>
      <c r="Q33" s="1">
        <v>29.68</v>
      </c>
      <c r="R33" s="1">
        <v>86</v>
      </c>
      <c r="S33" s="7">
        <v>4.4000000000000004</v>
      </c>
      <c r="T33" s="1" t="s">
        <v>3</v>
      </c>
      <c r="U33" s="1" t="s">
        <v>0</v>
      </c>
      <c r="V33" s="1" t="s">
        <v>7</v>
      </c>
      <c r="W33" s="1">
        <v>62.4</v>
      </c>
      <c r="X33" s="1">
        <v>-2.83</v>
      </c>
      <c r="Y33" s="1">
        <v>6.59</v>
      </c>
      <c r="Z33" s="1">
        <v>51.84</v>
      </c>
      <c r="AA33" s="1">
        <v>-1.03</v>
      </c>
      <c r="AB33" s="1">
        <v>3.76</v>
      </c>
      <c r="AC33" s="50">
        <v>45615</v>
      </c>
      <c r="AD33" s="61">
        <v>91.65</v>
      </c>
      <c r="AE33" s="51">
        <v>22.28</v>
      </c>
      <c r="AF33" s="63">
        <v>19.624300000000002</v>
      </c>
      <c r="AG33" s="63">
        <v>6.2026000000000003</v>
      </c>
      <c r="AH33" s="1">
        <v>11.793200000000001</v>
      </c>
      <c r="AI33" s="61">
        <v>90.69</v>
      </c>
      <c r="AJ33" s="58">
        <v>21.73</v>
      </c>
      <c r="AK33" s="63">
        <v>3.1023000000000001</v>
      </c>
      <c r="AL33" s="1">
        <v>2.3089</v>
      </c>
      <c r="AM33" s="5"/>
    </row>
    <row r="34" spans="1:39" x14ac:dyDescent="0.3">
      <c r="A34" s="8">
        <v>45427</v>
      </c>
      <c r="B34" s="4">
        <v>0.52083333333333337</v>
      </c>
      <c r="C34" s="4">
        <v>0.625</v>
      </c>
      <c r="D34" s="8">
        <v>45427</v>
      </c>
      <c r="E34" s="1" t="s">
        <v>41</v>
      </c>
      <c r="F34" s="1" t="s">
        <v>0</v>
      </c>
      <c r="G34" s="1" t="s">
        <v>42</v>
      </c>
      <c r="H34" s="1" t="s">
        <v>43</v>
      </c>
      <c r="I34" s="1" t="s">
        <v>0</v>
      </c>
      <c r="J34" s="1" t="s">
        <v>0</v>
      </c>
      <c r="K34" s="1" t="s">
        <v>0</v>
      </c>
      <c r="L34" s="1" t="s">
        <v>44</v>
      </c>
      <c r="M34" s="1">
        <f t="shared" si="0"/>
        <v>33</v>
      </c>
      <c r="N34" s="1" t="s">
        <v>19</v>
      </c>
      <c r="O34" s="1">
        <v>3</v>
      </c>
      <c r="P34" s="1">
        <v>108.81</v>
      </c>
      <c r="Q34" s="1">
        <v>26.02</v>
      </c>
      <c r="R34" s="1">
        <v>88</v>
      </c>
      <c r="S34" s="7">
        <v>5.6</v>
      </c>
      <c r="T34" s="1" t="s">
        <v>3</v>
      </c>
      <c r="U34" s="1" t="s">
        <v>0</v>
      </c>
      <c r="V34" s="1" t="s">
        <v>1</v>
      </c>
      <c r="W34" s="1">
        <v>62.22</v>
      </c>
      <c r="X34" s="1">
        <v>-2.33</v>
      </c>
      <c r="Y34" s="1">
        <v>6.33</v>
      </c>
      <c r="Z34" s="1">
        <v>47.75</v>
      </c>
      <c r="AA34" s="1">
        <v>-1.9</v>
      </c>
      <c r="AB34" s="1">
        <v>1.86</v>
      </c>
      <c r="AC34" s="49">
        <v>45615</v>
      </c>
      <c r="AD34" s="60">
        <v>96.12</v>
      </c>
      <c r="AE34" s="41">
        <v>21.06</v>
      </c>
      <c r="AF34" s="59">
        <v>15.029500000000001</v>
      </c>
      <c r="AG34" s="59">
        <v>4.7733999999999996</v>
      </c>
      <c r="AH34" s="1">
        <v>9.6387</v>
      </c>
      <c r="AI34" s="59">
        <v>94.66</v>
      </c>
      <c r="AJ34" s="56">
        <v>20.62</v>
      </c>
      <c r="AK34" s="59">
        <v>2.4641999999999999</v>
      </c>
      <c r="AL34" s="1">
        <v>2.0106000000000002</v>
      </c>
      <c r="AM34" s="5" t="s">
        <v>56</v>
      </c>
    </row>
    <row r="35" spans="1:39" x14ac:dyDescent="0.3">
      <c r="A35" s="8">
        <v>45427</v>
      </c>
      <c r="B35" s="4">
        <v>0.52083333333333337</v>
      </c>
      <c r="C35" s="4">
        <v>0.625</v>
      </c>
      <c r="D35" s="8">
        <v>45427</v>
      </c>
      <c r="E35" s="1" t="s">
        <v>41</v>
      </c>
      <c r="F35" s="1" t="s">
        <v>0</v>
      </c>
      <c r="G35" s="1" t="s">
        <v>42</v>
      </c>
      <c r="H35" s="1" t="s">
        <v>43</v>
      </c>
      <c r="I35" s="1" t="s">
        <v>0</v>
      </c>
      <c r="J35" s="1" t="s">
        <v>0</v>
      </c>
      <c r="K35" s="1" t="s">
        <v>0</v>
      </c>
      <c r="L35" s="1" t="s">
        <v>44</v>
      </c>
      <c r="M35" s="1">
        <f t="shared" si="0"/>
        <v>34</v>
      </c>
      <c r="N35" s="1" t="s">
        <v>19</v>
      </c>
      <c r="O35" s="1">
        <v>3</v>
      </c>
      <c r="P35" s="1">
        <v>103.03</v>
      </c>
      <c r="Q35" s="1">
        <v>25.63</v>
      </c>
      <c r="R35" s="1">
        <v>88</v>
      </c>
      <c r="S35" s="7">
        <v>3.4</v>
      </c>
      <c r="T35" s="1" t="s">
        <v>3</v>
      </c>
      <c r="U35" s="1" t="s">
        <v>0</v>
      </c>
      <c r="V35" s="1" t="s">
        <v>46</v>
      </c>
      <c r="W35" s="1">
        <v>57.62</v>
      </c>
      <c r="X35" s="1">
        <v>-2.84</v>
      </c>
      <c r="Y35" s="1">
        <v>7.66</v>
      </c>
      <c r="Z35" s="1">
        <v>46.99</v>
      </c>
      <c r="AA35" s="1">
        <v>-2.2599999999999998</v>
      </c>
      <c r="AB35" s="1">
        <v>1</v>
      </c>
      <c r="AC35" s="49">
        <v>45614</v>
      </c>
      <c r="AD35" s="60">
        <v>96.43</v>
      </c>
      <c r="AE35" s="42">
        <v>19.93</v>
      </c>
      <c r="AF35" s="62">
        <v>14.87</v>
      </c>
      <c r="AG35" s="62">
        <v>4.4508000000000001</v>
      </c>
      <c r="AH35" s="1">
        <v>9.8767999999999994</v>
      </c>
      <c r="AI35" s="60">
        <v>98.2</v>
      </c>
      <c r="AJ35" s="57">
        <v>20.5</v>
      </c>
      <c r="AK35" s="59">
        <v>2.4771999999999998</v>
      </c>
      <c r="AL35" s="1">
        <v>1.9946000000000002</v>
      </c>
      <c r="AM35" s="5"/>
    </row>
    <row r="36" spans="1:39" x14ac:dyDescent="0.3">
      <c r="A36" s="8">
        <v>45427</v>
      </c>
      <c r="B36" s="4">
        <v>0.52083333333333337</v>
      </c>
      <c r="C36" s="4">
        <v>0.625</v>
      </c>
      <c r="D36" s="8">
        <v>45427</v>
      </c>
      <c r="E36" s="1" t="s">
        <v>41</v>
      </c>
      <c r="F36" s="1" t="s">
        <v>0</v>
      </c>
      <c r="G36" s="1" t="s">
        <v>42</v>
      </c>
      <c r="H36" s="1" t="s">
        <v>43</v>
      </c>
      <c r="I36" s="1" t="s">
        <v>0</v>
      </c>
      <c r="J36" s="1" t="s">
        <v>0</v>
      </c>
      <c r="K36" s="1" t="s">
        <v>0</v>
      </c>
      <c r="L36" s="1" t="s">
        <v>44</v>
      </c>
      <c r="M36" s="1">
        <f t="shared" si="0"/>
        <v>35</v>
      </c>
      <c r="N36" s="1" t="s">
        <v>19</v>
      </c>
      <c r="O36" s="1">
        <v>3</v>
      </c>
      <c r="P36" s="1">
        <v>117.32</v>
      </c>
      <c r="Q36" s="1">
        <v>32.619999999999997</v>
      </c>
      <c r="R36" s="1">
        <v>80</v>
      </c>
      <c r="S36" s="7">
        <v>4.5999999999999996</v>
      </c>
      <c r="T36" s="1" t="s">
        <v>3</v>
      </c>
      <c r="U36" s="1" t="s">
        <v>0</v>
      </c>
      <c r="V36" s="1" t="s">
        <v>48</v>
      </c>
      <c r="W36" s="1">
        <v>62.3</v>
      </c>
      <c r="X36" s="1">
        <v>-2.0099999999999998</v>
      </c>
      <c r="Y36" s="1">
        <v>-0.52</v>
      </c>
      <c r="Z36" s="1">
        <v>45.31</v>
      </c>
      <c r="AA36" s="1">
        <v>0</v>
      </c>
      <c r="AB36" s="1">
        <v>2.2999999999999998</v>
      </c>
      <c r="AC36" s="49">
        <v>45614</v>
      </c>
      <c r="AD36" s="60">
        <v>119.48</v>
      </c>
      <c r="AE36" s="41">
        <v>23.89</v>
      </c>
      <c r="AF36" s="59">
        <v>25.204599999999999</v>
      </c>
      <c r="AG36" s="59">
        <v>7.2447999999999997</v>
      </c>
      <c r="AH36" s="1">
        <v>17.413999999999998</v>
      </c>
      <c r="AI36" s="59">
        <v>118.94</v>
      </c>
      <c r="AJ36" s="56">
        <v>24.74</v>
      </c>
      <c r="AK36" s="59">
        <v>4.0148999999999999</v>
      </c>
      <c r="AL36" s="1">
        <v>3.3500999999999999</v>
      </c>
      <c r="AM36" s="5" t="s">
        <v>59</v>
      </c>
    </row>
    <row r="37" spans="1:39" x14ac:dyDescent="0.3">
      <c r="A37" s="8">
        <v>45427</v>
      </c>
      <c r="B37" s="4">
        <v>0.52083333333333337</v>
      </c>
      <c r="C37" s="4">
        <v>0.625</v>
      </c>
      <c r="D37" s="8">
        <v>45427</v>
      </c>
      <c r="E37" s="1" t="s">
        <v>41</v>
      </c>
      <c r="F37" s="1" t="s">
        <v>0</v>
      </c>
      <c r="G37" s="1" t="s">
        <v>42</v>
      </c>
      <c r="H37" s="1" t="s">
        <v>43</v>
      </c>
      <c r="I37" s="1" t="s">
        <v>0</v>
      </c>
      <c r="J37" s="1" t="s">
        <v>0</v>
      </c>
      <c r="K37" s="1" t="s">
        <v>0</v>
      </c>
      <c r="L37" s="1" t="s">
        <v>44</v>
      </c>
      <c r="M37" s="1">
        <f t="shared" si="0"/>
        <v>36</v>
      </c>
      <c r="N37" s="1" t="s">
        <v>19</v>
      </c>
      <c r="O37" s="1">
        <v>3</v>
      </c>
      <c r="P37" s="1">
        <v>116.05</v>
      </c>
      <c r="Q37" s="1">
        <v>30.64</v>
      </c>
      <c r="R37" s="1">
        <v>70</v>
      </c>
      <c r="S37" s="7">
        <v>3.8</v>
      </c>
      <c r="T37" s="1" t="s">
        <v>3</v>
      </c>
      <c r="U37" s="1" t="s">
        <v>0</v>
      </c>
      <c r="V37" s="1" t="s">
        <v>49</v>
      </c>
      <c r="W37" s="1">
        <v>60.04</v>
      </c>
      <c r="X37" s="1">
        <v>-1.38</v>
      </c>
      <c r="Y37" s="1">
        <v>9.5</v>
      </c>
      <c r="Z37" s="1">
        <v>46.84</v>
      </c>
      <c r="AA37" s="1">
        <v>1.43</v>
      </c>
      <c r="AB37" s="1">
        <v>1.38</v>
      </c>
      <c r="AC37" s="49">
        <v>45610</v>
      </c>
      <c r="AD37" s="60">
        <v>114.13</v>
      </c>
      <c r="AE37" s="41">
        <v>20.74</v>
      </c>
      <c r="AF37" s="62">
        <v>20.970600000000001</v>
      </c>
      <c r="AG37" s="62">
        <v>6.5751999999999997</v>
      </c>
      <c r="AH37" s="1">
        <v>13.7209</v>
      </c>
      <c r="AI37" s="59">
        <v>112.89</v>
      </c>
      <c r="AJ37" s="57">
        <v>21.16</v>
      </c>
      <c r="AK37" s="62">
        <v>3.4409999999999998</v>
      </c>
      <c r="AL37" s="1">
        <v>2.5861999999999998</v>
      </c>
      <c r="AM37" s="5"/>
    </row>
    <row r="38" spans="1:39" x14ac:dyDescent="0.3">
      <c r="A38" s="8">
        <v>45427</v>
      </c>
      <c r="B38" s="4">
        <v>0.52083333333333337</v>
      </c>
      <c r="C38" s="4">
        <v>0.625</v>
      </c>
      <c r="D38" s="8">
        <v>45427</v>
      </c>
      <c r="E38" s="1" t="s">
        <v>41</v>
      </c>
      <c r="F38" s="1" t="s">
        <v>0</v>
      </c>
      <c r="G38" s="1" t="s">
        <v>42</v>
      </c>
      <c r="H38" s="1" t="s">
        <v>43</v>
      </c>
      <c r="I38" s="1" t="s">
        <v>0</v>
      </c>
      <c r="J38" s="1" t="s">
        <v>0</v>
      </c>
      <c r="K38" s="1" t="s">
        <v>0</v>
      </c>
      <c r="L38" s="1" t="s">
        <v>44</v>
      </c>
      <c r="M38" s="1">
        <f t="shared" si="0"/>
        <v>37</v>
      </c>
      <c r="N38" s="1" t="s">
        <v>19</v>
      </c>
      <c r="O38" s="1" t="s">
        <v>2</v>
      </c>
      <c r="P38" s="1">
        <v>114.53</v>
      </c>
      <c r="Q38" s="1">
        <v>30.69</v>
      </c>
      <c r="R38" s="1">
        <v>86</v>
      </c>
      <c r="S38" s="7">
        <v>5.6</v>
      </c>
      <c r="T38" s="1" t="s">
        <v>3</v>
      </c>
      <c r="U38" s="1" t="s">
        <v>0</v>
      </c>
      <c r="V38" s="1" t="s">
        <v>8</v>
      </c>
      <c r="W38" s="1">
        <v>58.08</v>
      </c>
      <c r="X38" s="1">
        <v>-0.14000000000000001</v>
      </c>
      <c r="Y38" s="1">
        <v>17.420000000000002</v>
      </c>
      <c r="Z38" s="1">
        <v>43.42</v>
      </c>
      <c r="AA38" s="1">
        <v>1.51</v>
      </c>
      <c r="AB38" s="1">
        <v>11.84</v>
      </c>
      <c r="AC38" s="49">
        <v>45614</v>
      </c>
      <c r="AD38" s="60">
        <v>99.2</v>
      </c>
      <c r="AE38" s="41">
        <v>21.68</v>
      </c>
      <c r="AF38" s="59">
        <v>18.837399999999999</v>
      </c>
      <c r="AG38" s="59">
        <v>6.0987</v>
      </c>
      <c r="AH38" s="1">
        <v>11.8378</v>
      </c>
      <c r="AI38" s="59">
        <v>98.68</v>
      </c>
      <c r="AJ38" s="57">
        <v>22.7</v>
      </c>
      <c r="AK38" s="62">
        <v>3.0626000000000002</v>
      </c>
      <c r="AL38" s="1">
        <v>2.5735000000000001</v>
      </c>
      <c r="AM38" s="5"/>
    </row>
    <row r="39" spans="1:39" x14ac:dyDescent="0.3">
      <c r="A39" s="8">
        <v>45427</v>
      </c>
      <c r="B39" s="4">
        <v>0.52083333333333337</v>
      </c>
      <c r="C39" s="4">
        <v>0.625</v>
      </c>
      <c r="D39" s="8">
        <v>45427</v>
      </c>
      <c r="E39" s="1" t="s">
        <v>41</v>
      </c>
      <c r="F39" s="1" t="s">
        <v>0</v>
      </c>
      <c r="G39" s="1" t="s">
        <v>42</v>
      </c>
      <c r="H39" s="1" t="s">
        <v>43</v>
      </c>
      <c r="I39" s="1" t="s">
        <v>0</v>
      </c>
      <c r="J39" s="1" t="s">
        <v>0</v>
      </c>
      <c r="K39" s="1" t="s">
        <v>0</v>
      </c>
      <c r="L39" s="1" t="s">
        <v>44</v>
      </c>
      <c r="M39" s="1">
        <f t="shared" si="0"/>
        <v>38</v>
      </c>
      <c r="N39" s="1" t="s">
        <v>19</v>
      </c>
      <c r="O39" s="1">
        <v>3</v>
      </c>
      <c r="P39" s="1">
        <v>111.91</v>
      </c>
      <c r="Q39" s="1">
        <v>26.06</v>
      </c>
      <c r="R39" s="1">
        <v>69</v>
      </c>
      <c r="S39" s="7">
        <v>6</v>
      </c>
      <c r="T39" s="1" t="s">
        <v>3</v>
      </c>
      <c r="U39" s="1" t="s">
        <v>0</v>
      </c>
      <c r="V39" s="1" t="s">
        <v>50</v>
      </c>
      <c r="W39" s="1">
        <v>60.61</v>
      </c>
      <c r="X39" s="1">
        <v>-1.34</v>
      </c>
      <c r="Y39" s="1">
        <v>14</v>
      </c>
      <c r="Z39" s="1">
        <v>44.6</v>
      </c>
      <c r="AA39" s="1">
        <v>1.66</v>
      </c>
      <c r="AB39" s="1">
        <v>12.36</v>
      </c>
      <c r="AC39" s="49">
        <v>45615</v>
      </c>
      <c r="AD39" s="60">
        <v>103.36</v>
      </c>
      <c r="AE39" s="41">
        <v>21.42</v>
      </c>
      <c r="AF39" s="59">
        <v>18.157699999999998</v>
      </c>
      <c r="AG39" s="59">
        <v>5.3334000000000001</v>
      </c>
      <c r="AH39" s="1">
        <v>12.1778</v>
      </c>
      <c r="AI39" s="59">
        <v>102.76</v>
      </c>
      <c r="AJ39" s="56">
        <v>22.57</v>
      </c>
      <c r="AK39" s="59">
        <v>3.0417000000000001</v>
      </c>
      <c r="AL39" s="1">
        <v>2.476</v>
      </c>
      <c r="AM39" s="5" t="s">
        <v>54</v>
      </c>
    </row>
    <row r="40" spans="1:39" x14ac:dyDescent="0.3">
      <c r="A40" s="8">
        <v>45427</v>
      </c>
      <c r="B40" s="4">
        <v>0.52083333333333337</v>
      </c>
      <c r="C40" s="4">
        <v>0.625</v>
      </c>
      <c r="D40" s="8">
        <v>45427</v>
      </c>
      <c r="E40" s="1" t="s">
        <v>41</v>
      </c>
      <c r="F40" s="1" t="s">
        <v>0</v>
      </c>
      <c r="G40" s="1" t="s">
        <v>42</v>
      </c>
      <c r="H40" s="1" t="s">
        <v>43</v>
      </c>
      <c r="I40" s="1" t="s">
        <v>0</v>
      </c>
      <c r="J40" s="1" t="s">
        <v>0</v>
      </c>
      <c r="K40" s="1" t="s">
        <v>0</v>
      </c>
      <c r="L40" s="1" t="s">
        <v>44</v>
      </c>
      <c r="M40" s="1">
        <f t="shared" si="0"/>
        <v>39</v>
      </c>
      <c r="N40" s="1" t="s">
        <v>19</v>
      </c>
      <c r="O40" s="1">
        <v>2</v>
      </c>
      <c r="P40" s="1">
        <v>102.66</v>
      </c>
      <c r="Q40" s="1">
        <v>23.65</v>
      </c>
      <c r="R40" s="1">
        <v>87</v>
      </c>
      <c r="S40" s="7">
        <v>5.4</v>
      </c>
      <c r="T40" s="1" t="s">
        <v>3</v>
      </c>
      <c r="U40" s="1" t="s">
        <v>0</v>
      </c>
      <c r="V40" s="1" t="s">
        <v>1</v>
      </c>
      <c r="W40" s="1">
        <v>58.99</v>
      </c>
      <c r="X40" s="1">
        <v>-2.82</v>
      </c>
      <c r="Y40" s="1">
        <v>7.65</v>
      </c>
      <c r="Z40" s="1">
        <v>46.82</v>
      </c>
      <c r="AA40" s="1">
        <v>-1</v>
      </c>
      <c r="AB40" s="1">
        <v>0.67</v>
      </c>
      <c r="AC40" s="49">
        <v>45615</v>
      </c>
      <c r="AD40" s="60">
        <v>99.68</v>
      </c>
      <c r="AE40" s="41">
        <v>20.64</v>
      </c>
      <c r="AF40" s="62">
        <v>15.912000000000001</v>
      </c>
      <c r="AG40" s="59">
        <v>4.4364999999999997</v>
      </c>
      <c r="AH40" s="1">
        <v>11.2362</v>
      </c>
      <c r="AI40" s="59">
        <v>98.99</v>
      </c>
      <c r="AJ40" s="56">
        <v>22.36</v>
      </c>
      <c r="AK40" s="59">
        <v>2.5693999999999999</v>
      </c>
      <c r="AL40" s="1">
        <v>2.2749999999999999</v>
      </c>
      <c r="AM40" s="5" t="s">
        <v>59</v>
      </c>
    </row>
    <row r="41" spans="1:39" x14ac:dyDescent="0.3">
      <c r="A41" s="8">
        <v>45427</v>
      </c>
      <c r="B41" s="4">
        <v>0.52083333333333337</v>
      </c>
      <c r="C41" s="4">
        <v>0.625</v>
      </c>
      <c r="D41" s="8">
        <v>45427</v>
      </c>
      <c r="E41" s="1" t="s">
        <v>41</v>
      </c>
      <c r="F41" s="1" t="s">
        <v>0</v>
      </c>
      <c r="G41" s="1" t="s">
        <v>42</v>
      </c>
      <c r="H41" s="1" t="s">
        <v>43</v>
      </c>
      <c r="I41" s="1" t="s">
        <v>0</v>
      </c>
      <c r="J41" s="1" t="s">
        <v>0</v>
      </c>
      <c r="K41" s="1" t="s">
        <v>0</v>
      </c>
      <c r="L41" s="1" t="s">
        <v>44</v>
      </c>
      <c r="M41" s="1">
        <f t="shared" si="0"/>
        <v>40</v>
      </c>
      <c r="N41" s="1" t="s">
        <v>19</v>
      </c>
      <c r="O41" s="1">
        <v>3</v>
      </c>
      <c r="P41" s="1">
        <v>111.81</v>
      </c>
      <c r="Q41" s="1">
        <v>28.03</v>
      </c>
      <c r="R41" s="1">
        <v>81</v>
      </c>
      <c r="S41" s="7">
        <v>4.8</v>
      </c>
      <c r="T41" s="1" t="s">
        <v>3</v>
      </c>
      <c r="U41" s="1" t="s">
        <v>0</v>
      </c>
      <c r="V41" s="1" t="s">
        <v>48</v>
      </c>
      <c r="W41" s="1">
        <v>57.21</v>
      </c>
      <c r="X41" s="1">
        <v>-1.81</v>
      </c>
      <c r="Y41" s="1">
        <v>13.04</v>
      </c>
      <c r="Z41" s="1">
        <v>50.06</v>
      </c>
      <c r="AA41" s="1">
        <v>-1.75</v>
      </c>
      <c r="AB41" s="1">
        <v>6.9</v>
      </c>
      <c r="AC41" s="49">
        <v>45615</v>
      </c>
      <c r="AD41" s="60">
        <v>108.64</v>
      </c>
      <c r="AE41" s="41">
        <v>20.78</v>
      </c>
      <c r="AF41" s="59">
        <v>16.179600000000001</v>
      </c>
      <c r="AG41" s="59">
        <v>5.1154999999999999</v>
      </c>
      <c r="AH41" s="1">
        <v>10.2912</v>
      </c>
      <c r="AI41" s="59">
        <v>107.79</v>
      </c>
      <c r="AJ41" s="56">
        <v>21.04</v>
      </c>
      <c r="AK41" s="59">
        <v>2.6947999999999999</v>
      </c>
      <c r="AL41" s="1">
        <v>2.2513000000000001</v>
      </c>
      <c r="AM41" s="5"/>
    </row>
    <row r="42" spans="1:39" x14ac:dyDescent="0.3">
      <c r="A42" s="8">
        <v>45427</v>
      </c>
      <c r="B42" s="4">
        <v>0.52083333333333337</v>
      </c>
      <c r="C42" s="4">
        <v>0.625</v>
      </c>
      <c r="D42" s="8">
        <v>45427</v>
      </c>
      <c r="E42" s="1" t="s">
        <v>41</v>
      </c>
      <c r="F42" s="1" t="s">
        <v>0</v>
      </c>
      <c r="G42" s="1" t="s">
        <v>42</v>
      </c>
      <c r="H42" s="1" t="s">
        <v>43</v>
      </c>
      <c r="I42" s="1" t="s">
        <v>0</v>
      </c>
      <c r="J42" s="1" t="s">
        <v>0</v>
      </c>
      <c r="K42" s="1" t="s">
        <v>0</v>
      </c>
      <c r="L42" s="1" t="s">
        <v>44</v>
      </c>
      <c r="M42" s="1">
        <f t="shared" si="0"/>
        <v>41</v>
      </c>
      <c r="N42" s="1" t="s">
        <v>19</v>
      </c>
      <c r="O42" s="1">
        <v>2</v>
      </c>
      <c r="P42" s="1">
        <v>105.48</v>
      </c>
      <c r="Q42" s="1">
        <v>26.58</v>
      </c>
      <c r="R42" s="1">
        <v>81</v>
      </c>
      <c r="S42" s="7">
        <v>5.6</v>
      </c>
      <c r="T42" s="1" t="s">
        <v>3</v>
      </c>
      <c r="U42" s="1" t="s">
        <v>0</v>
      </c>
      <c r="V42" s="1" t="s">
        <v>1</v>
      </c>
      <c r="W42" s="1">
        <v>58.08</v>
      </c>
      <c r="X42" s="1">
        <v>-2.64</v>
      </c>
      <c r="Y42" s="1">
        <v>5.78</v>
      </c>
      <c r="Z42" s="1">
        <v>45.1</v>
      </c>
      <c r="AA42" s="1">
        <v>-0.93</v>
      </c>
      <c r="AB42" s="1">
        <v>0.56999999999999995</v>
      </c>
      <c r="AC42" s="49">
        <v>45615</v>
      </c>
      <c r="AD42" s="60">
        <v>105.46</v>
      </c>
      <c r="AE42" s="41">
        <v>20.29</v>
      </c>
      <c r="AF42" s="62">
        <v>15.9215</v>
      </c>
      <c r="AG42" s="62">
        <v>4.6417999999999999</v>
      </c>
      <c r="AH42" s="1">
        <v>10.940199999999999</v>
      </c>
      <c r="AI42" s="59">
        <v>104.11</v>
      </c>
      <c r="AJ42" s="56">
        <v>21.53</v>
      </c>
      <c r="AK42" s="59">
        <v>2.6496</v>
      </c>
      <c r="AL42" s="1">
        <v>2.1685999999999996</v>
      </c>
      <c r="AM42" s="5" t="s">
        <v>59</v>
      </c>
    </row>
    <row r="43" spans="1:39" x14ac:dyDescent="0.3">
      <c r="A43" s="8">
        <v>45427</v>
      </c>
      <c r="B43" s="4">
        <v>0.52083333333333337</v>
      </c>
      <c r="C43" s="4">
        <v>0.625</v>
      </c>
      <c r="D43" s="8">
        <v>45427</v>
      </c>
      <c r="E43" s="1" t="s">
        <v>41</v>
      </c>
      <c r="F43" s="1" t="s">
        <v>0</v>
      </c>
      <c r="G43" s="1" t="s">
        <v>42</v>
      </c>
      <c r="H43" s="1" t="s">
        <v>43</v>
      </c>
      <c r="I43" s="1" t="s">
        <v>0</v>
      </c>
      <c r="J43" s="1" t="s">
        <v>0</v>
      </c>
      <c r="K43" s="1" t="s">
        <v>0</v>
      </c>
      <c r="L43" s="1" t="s">
        <v>44</v>
      </c>
      <c r="M43" s="1">
        <f t="shared" si="0"/>
        <v>42</v>
      </c>
      <c r="N43" s="1" t="s">
        <v>19</v>
      </c>
      <c r="O43" s="1">
        <v>2</v>
      </c>
      <c r="P43" s="1">
        <v>99.28</v>
      </c>
      <c r="Q43" s="1">
        <v>23.88</v>
      </c>
      <c r="R43" s="1">
        <v>82</v>
      </c>
      <c r="S43" s="7">
        <v>4.8</v>
      </c>
      <c r="T43" s="1" t="s">
        <v>3</v>
      </c>
      <c r="U43" s="1" t="s">
        <v>0</v>
      </c>
      <c r="V43" s="1" t="s">
        <v>6</v>
      </c>
      <c r="W43" s="1">
        <v>60.85</v>
      </c>
      <c r="X43" s="1">
        <v>-1.94</v>
      </c>
      <c r="Y43" s="1">
        <v>7.08</v>
      </c>
      <c r="Z43" s="1">
        <v>45.73</v>
      </c>
      <c r="AA43" s="1">
        <v>0.28000000000000003</v>
      </c>
      <c r="AB43" s="1">
        <v>1.76</v>
      </c>
      <c r="AC43" s="49">
        <v>45615</v>
      </c>
      <c r="AD43" s="60">
        <v>99.65</v>
      </c>
      <c r="AE43" s="42">
        <v>19.3</v>
      </c>
      <c r="AF43" s="59">
        <v>14.946199999999999</v>
      </c>
      <c r="AG43" s="59">
        <v>4.0218999999999996</v>
      </c>
      <c r="AH43" s="1">
        <v>10.341800000000001</v>
      </c>
      <c r="AI43" s="59">
        <v>98.24</v>
      </c>
      <c r="AJ43" s="56">
        <v>20.29</v>
      </c>
      <c r="AK43" s="59">
        <v>2.2907000000000002</v>
      </c>
      <c r="AL43" s="1">
        <v>1.9301000000000001</v>
      </c>
      <c r="AM43" s="5"/>
    </row>
    <row r="44" spans="1:39" x14ac:dyDescent="0.3">
      <c r="A44" s="8">
        <v>45427</v>
      </c>
      <c r="B44" s="4">
        <v>0.52083333333333337</v>
      </c>
      <c r="C44" s="4">
        <v>0.625</v>
      </c>
      <c r="D44" s="8">
        <v>45427</v>
      </c>
      <c r="E44" s="1" t="s">
        <v>41</v>
      </c>
      <c r="F44" s="1" t="s">
        <v>0</v>
      </c>
      <c r="G44" s="1" t="s">
        <v>42</v>
      </c>
      <c r="H44" s="1" t="s">
        <v>43</v>
      </c>
      <c r="I44" s="1" t="s">
        <v>0</v>
      </c>
      <c r="J44" s="1" t="s">
        <v>0</v>
      </c>
      <c r="K44" s="1" t="s">
        <v>0</v>
      </c>
      <c r="L44" s="1" t="s">
        <v>44</v>
      </c>
      <c r="M44" s="1">
        <f t="shared" si="0"/>
        <v>43</v>
      </c>
      <c r="N44" s="1" t="s">
        <v>19</v>
      </c>
      <c r="O44" s="1">
        <v>3</v>
      </c>
      <c r="P44" s="1">
        <v>99.83</v>
      </c>
      <c r="Q44" s="1">
        <v>21.92</v>
      </c>
      <c r="R44" s="1">
        <v>79</v>
      </c>
      <c r="S44" s="7">
        <v>5</v>
      </c>
      <c r="T44" s="1" t="s">
        <v>3</v>
      </c>
      <c r="U44" s="1" t="s">
        <v>0</v>
      </c>
      <c r="V44" s="1" t="s">
        <v>4</v>
      </c>
      <c r="W44" s="1">
        <v>62.35</v>
      </c>
      <c r="X44" s="1">
        <v>-2.73</v>
      </c>
      <c r="Y44" s="1">
        <v>10.06</v>
      </c>
      <c r="Z44" s="1">
        <v>44.99</v>
      </c>
      <c r="AA44" s="1">
        <v>-1.21</v>
      </c>
      <c r="AB44" s="1">
        <v>0.2</v>
      </c>
      <c r="AC44" s="48">
        <v>45603</v>
      </c>
      <c r="AD44" s="60">
        <v>101.3</v>
      </c>
      <c r="AE44" s="41">
        <v>18.739999999999998</v>
      </c>
      <c r="AF44" s="59">
        <v>13.113799999999999</v>
      </c>
      <c r="AG44" s="59">
        <v>4.4737</v>
      </c>
      <c r="AH44" s="1">
        <v>8.1582999999999988</v>
      </c>
      <c r="AI44" s="59">
        <v>100.35</v>
      </c>
      <c r="AJ44" s="57">
        <v>20.21</v>
      </c>
      <c r="AK44" s="62">
        <v>2.2204999999999999</v>
      </c>
      <c r="AL44" s="1">
        <v>1.7641</v>
      </c>
      <c r="AM44" s="5"/>
    </row>
    <row r="45" spans="1:39" x14ac:dyDescent="0.3">
      <c r="A45" s="8">
        <v>45427</v>
      </c>
      <c r="B45" s="4">
        <v>0.52083333333333337</v>
      </c>
      <c r="C45" s="4">
        <v>0.625</v>
      </c>
      <c r="D45" s="8">
        <v>45427</v>
      </c>
      <c r="E45" s="1" t="s">
        <v>41</v>
      </c>
      <c r="F45" s="1" t="s">
        <v>0</v>
      </c>
      <c r="G45" s="1" t="s">
        <v>42</v>
      </c>
      <c r="H45" s="1" t="s">
        <v>43</v>
      </c>
      <c r="I45" s="1" t="s">
        <v>0</v>
      </c>
      <c r="J45" s="1" t="s">
        <v>0</v>
      </c>
      <c r="K45" s="1" t="s">
        <v>0</v>
      </c>
      <c r="L45" s="1" t="s">
        <v>44</v>
      </c>
      <c r="M45" s="1">
        <f t="shared" si="0"/>
        <v>44</v>
      </c>
      <c r="N45" s="1" t="s">
        <v>19</v>
      </c>
      <c r="O45" s="1">
        <v>3</v>
      </c>
      <c r="P45" s="1">
        <v>105.23</v>
      </c>
      <c r="Q45" s="1">
        <v>26.33</v>
      </c>
      <c r="R45" s="1">
        <v>82</v>
      </c>
      <c r="S45" s="7">
        <v>5</v>
      </c>
      <c r="T45" s="1" t="s">
        <v>3</v>
      </c>
      <c r="U45" s="1" t="s">
        <v>0</v>
      </c>
      <c r="V45" s="1" t="s">
        <v>1</v>
      </c>
      <c r="W45" s="1">
        <v>55.51</v>
      </c>
      <c r="X45" s="1">
        <v>-2.2400000000000002</v>
      </c>
      <c r="Y45" s="1">
        <v>4.1900000000000004</v>
      </c>
      <c r="Z45" s="1">
        <v>45.04</v>
      </c>
      <c r="AA45" s="1">
        <v>-1.45</v>
      </c>
      <c r="AB45" s="1">
        <v>1.51</v>
      </c>
      <c r="AC45" s="48">
        <v>45603</v>
      </c>
      <c r="AD45" s="60">
        <v>103.75</v>
      </c>
      <c r="AE45" s="41">
        <v>19.97</v>
      </c>
      <c r="AF45" s="59">
        <v>13.6982</v>
      </c>
      <c r="AG45" s="59">
        <v>5.2122000000000002</v>
      </c>
      <c r="AH45" s="1">
        <v>8.1813000000000002</v>
      </c>
      <c r="AI45" s="59">
        <v>103.78</v>
      </c>
      <c r="AJ45" s="56">
        <v>22.02</v>
      </c>
      <c r="AK45" s="59">
        <v>2.4805000000000001</v>
      </c>
      <c r="AL45" s="1">
        <v>1.7614000000000001</v>
      </c>
      <c r="AM45" s="5"/>
    </row>
    <row r="46" spans="1:39" x14ac:dyDescent="0.3">
      <c r="A46" s="8">
        <v>45427</v>
      </c>
      <c r="B46" s="4">
        <v>0.52083333333333337</v>
      </c>
      <c r="C46" s="4">
        <v>0.625</v>
      </c>
      <c r="D46" s="8">
        <v>45427</v>
      </c>
      <c r="E46" s="1" t="s">
        <v>41</v>
      </c>
      <c r="F46" s="1" t="s">
        <v>0</v>
      </c>
      <c r="G46" s="1" t="s">
        <v>42</v>
      </c>
      <c r="H46" s="1" t="s">
        <v>43</v>
      </c>
      <c r="I46" s="1" t="s">
        <v>0</v>
      </c>
      <c r="J46" s="1" t="s">
        <v>0</v>
      </c>
      <c r="K46" s="1" t="s">
        <v>0</v>
      </c>
      <c r="L46" s="1" t="s">
        <v>44</v>
      </c>
      <c r="M46" s="1">
        <f t="shared" si="0"/>
        <v>45</v>
      </c>
      <c r="N46" s="1" t="s">
        <v>19</v>
      </c>
      <c r="O46" s="1">
        <v>3</v>
      </c>
      <c r="P46" s="1">
        <v>100.44</v>
      </c>
      <c r="Q46" s="1">
        <v>25.51</v>
      </c>
      <c r="R46" s="1">
        <v>78</v>
      </c>
      <c r="S46" s="7">
        <v>5.8</v>
      </c>
      <c r="T46" s="1" t="s">
        <v>3</v>
      </c>
      <c r="U46" s="1" t="s">
        <v>0</v>
      </c>
      <c r="V46" s="1" t="s">
        <v>6</v>
      </c>
      <c r="W46" s="1">
        <v>57.89</v>
      </c>
      <c r="X46" s="1">
        <v>-0.9</v>
      </c>
      <c r="Y46" s="1">
        <v>8.07</v>
      </c>
      <c r="Z46" s="1">
        <v>43.6</v>
      </c>
      <c r="AA46" s="1">
        <v>2.7</v>
      </c>
      <c r="AB46" s="1">
        <v>3.37</v>
      </c>
      <c r="AC46" s="49">
        <v>45610</v>
      </c>
      <c r="AD46" s="60">
        <v>92.32</v>
      </c>
      <c r="AE46" s="41">
        <v>20.28</v>
      </c>
      <c r="AF46" s="59">
        <v>13.755599999999999</v>
      </c>
      <c r="AG46" s="59">
        <v>4.6273999999999997</v>
      </c>
      <c r="AH46" s="1">
        <v>8.14</v>
      </c>
      <c r="AI46" s="59">
        <v>91.29</v>
      </c>
      <c r="AJ46" s="56">
        <v>20.96</v>
      </c>
      <c r="AK46" s="59">
        <v>2.4011999999999998</v>
      </c>
      <c r="AL46" s="1">
        <v>1.8154999999999999</v>
      </c>
      <c r="AM46" s="5"/>
    </row>
    <row r="47" spans="1:39" x14ac:dyDescent="0.3">
      <c r="A47" s="8">
        <v>45427</v>
      </c>
      <c r="B47" s="4">
        <v>0.52083333333333337</v>
      </c>
      <c r="C47" s="4">
        <v>0.625</v>
      </c>
      <c r="D47" s="8">
        <v>45427</v>
      </c>
      <c r="E47" s="1" t="s">
        <v>41</v>
      </c>
      <c r="F47" s="1" t="s">
        <v>0</v>
      </c>
      <c r="G47" s="1" t="s">
        <v>42</v>
      </c>
      <c r="H47" s="1" t="s">
        <v>43</v>
      </c>
      <c r="I47" s="1" t="s">
        <v>0</v>
      </c>
      <c r="J47" s="1" t="s">
        <v>0</v>
      </c>
      <c r="K47" s="1" t="s">
        <v>0</v>
      </c>
      <c r="L47" s="1" t="s">
        <v>44</v>
      </c>
      <c r="M47" s="1">
        <f t="shared" si="0"/>
        <v>46</v>
      </c>
      <c r="N47" s="1" t="s">
        <v>19</v>
      </c>
      <c r="O47" s="1">
        <v>3</v>
      </c>
      <c r="P47" s="1">
        <v>113.81</v>
      </c>
      <c r="Q47" s="1">
        <v>30.35</v>
      </c>
      <c r="R47" s="1">
        <v>81</v>
      </c>
      <c r="S47" s="7">
        <v>4</v>
      </c>
      <c r="T47" s="1" t="s">
        <v>3</v>
      </c>
      <c r="U47" s="1" t="s">
        <v>0</v>
      </c>
      <c r="V47" s="1" t="s">
        <v>7</v>
      </c>
      <c r="W47" s="1">
        <v>64.790000000000006</v>
      </c>
      <c r="X47" s="1">
        <v>-2.52</v>
      </c>
      <c r="Y47" s="1">
        <v>8.0500000000000007</v>
      </c>
      <c r="Z47" s="1">
        <v>49.23</v>
      </c>
      <c r="AA47" s="1">
        <v>-1.76</v>
      </c>
      <c r="AB47" s="1">
        <v>1.6</v>
      </c>
      <c r="AC47" s="48">
        <v>45603</v>
      </c>
      <c r="AD47" s="60">
        <v>90.62</v>
      </c>
      <c r="AE47" s="41">
        <v>20.88</v>
      </c>
      <c r="AF47" s="59">
        <v>16.8781</v>
      </c>
      <c r="AG47" s="59">
        <v>5.6584000000000003</v>
      </c>
      <c r="AH47" s="1">
        <v>10.5289</v>
      </c>
      <c r="AI47" s="59">
        <v>90.93</v>
      </c>
      <c r="AJ47" s="56">
        <v>24.11</v>
      </c>
      <c r="AK47" s="59">
        <v>2.7464</v>
      </c>
      <c r="AL47" s="1">
        <v>2.1519000000000004</v>
      </c>
      <c r="AM47" s="5" t="s">
        <v>58</v>
      </c>
    </row>
    <row r="48" spans="1:39" x14ac:dyDescent="0.3">
      <c r="A48" s="8">
        <v>45427</v>
      </c>
      <c r="B48" s="4">
        <v>0.52083333333333337</v>
      </c>
      <c r="C48" s="4">
        <v>0.625</v>
      </c>
      <c r="D48" s="8">
        <v>45427</v>
      </c>
      <c r="E48" s="1" t="s">
        <v>41</v>
      </c>
      <c r="F48" s="1" t="s">
        <v>0</v>
      </c>
      <c r="G48" s="1" t="s">
        <v>42</v>
      </c>
      <c r="H48" s="1" t="s">
        <v>43</v>
      </c>
      <c r="I48" s="1" t="s">
        <v>0</v>
      </c>
      <c r="J48" s="1" t="s">
        <v>0</v>
      </c>
      <c r="K48" s="1" t="s">
        <v>0</v>
      </c>
      <c r="L48" s="1" t="s">
        <v>44</v>
      </c>
      <c r="M48" s="1">
        <f t="shared" si="0"/>
        <v>47</v>
      </c>
      <c r="N48" s="1" t="s">
        <v>19</v>
      </c>
      <c r="O48" s="1">
        <v>3</v>
      </c>
      <c r="P48" s="1">
        <v>123.66</v>
      </c>
      <c r="Q48" s="1">
        <v>29.57</v>
      </c>
      <c r="R48" s="1">
        <v>89</v>
      </c>
      <c r="S48" s="7">
        <v>5</v>
      </c>
      <c r="T48" s="1" t="s">
        <v>3</v>
      </c>
      <c r="U48" s="1" t="s">
        <v>0</v>
      </c>
      <c r="V48" s="1" t="s">
        <v>1</v>
      </c>
      <c r="W48" s="1">
        <v>64.86</v>
      </c>
      <c r="X48" s="1">
        <v>-1.59</v>
      </c>
      <c r="Y48" s="1">
        <v>15.24</v>
      </c>
      <c r="Z48" s="1">
        <v>50.03</v>
      </c>
      <c r="AA48" s="1">
        <v>-2.64</v>
      </c>
      <c r="AB48" s="1">
        <v>4.13</v>
      </c>
      <c r="AC48" s="49">
        <v>45615</v>
      </c>
      <c r="AD48" s="60">
        <v>113.12</v>
      </c>
      <c r="AE48" s="42">
        <v>24.9</v>
      </c>
      <c r="AF48" s="59">
        <v>26.225300000000001</v>
      </c>
      <c r="AG48" s="62">
        <v>7.673</v>
      </c>
      <c r="AH48" s="1">
        <v>17.9069</v>
      </c>
      <c r="AI48" s="59">
        <v>112.58</v>
      </c>
      <c r="AJ48" s="56">
        <v>27.23</v>
      </c>
      <c r="AK48" s="59">
        <v>4.0392999999999999</v>
      </c>
      <c r="AL48" s="1">
        <v>3.3491999999999997</v>
      </c>
      <c r="AM48" s="5"/>
    </row>
    <row r="49" spans="1:39" x14ac:dyDescent="0.3">
      <c r="A49" s="8">
        <v>45427</v>
      </c>
      <c r="B49" s="4">
        <v>0.52083333333333337</v>
      </c>
      <c r="C49" s="4">
        <v>0.625</v>
      </c>
      <c r="D49" s="8">
        <v>45427</v>
      </c>
      <c r="E49" s="1" t="s">
        <v>41</v>
      </c>
      <c r="F49" s="1" t="s">
        <v>0</v>
      </c>
      <c r="G49" s="1" t="s">
        <v>42</v>
      </c>
      <c r="H49" s="1" t="s">
        <v>43</v>
      </c>
      <c r="I49" s="1" t="s">
        <v>0</v>
      </c>
      <c r="J49" s="1" t="s">
        <v>0</v>
      </c>
      <c r="K49" s="1" t="s">
        <v>0</v>
      </c>
      <c r="L49" s="1" t="s">
        <v>44</v>
      </c>
      <c r="M49" s="1">
        <f t="shared" si="0"/>
        <v>48</v>
      </c>
      <c r="N49" s="1" t="s">
        <v>19</v>
      </c>
      <c r="O49" s="1">
        <v>3</v>
      </c>
      <c r="P49" s="1">
        <v>106.45</v>
      </c>
      <c r="Q49" s="1">
        <v>26.25</v>
      </c>
      <c r="R49" s="1">
        <v>71</v>
      </c>
      <c r="S49" s="7">
        <v>5.8</v>
      </c>
      <c r="T49" s="1" t="s">
        <v>3</v>
      </c>
      <c r="U49" s="1" t="s">
        <v>0</v>
      </c>
      <c r="V49" s="1" t="s">
        <v>1</v>
      </c>
      <c r="W49" s="1">
        <v>59.15</v>
      </c>
      <c r="X49" s="1">
        <v>-2.4</v>
      </c>
      <c r="Y49" s="1">
        <v>8.4</v>
      </c>
      <c r="Z49" s="1">
        <v>48.87</v>
      </c>
      <c r="AA49" s="1">
        <v>-2.08</v>
      </c>
      <c r="AB49" s="1">
        <v>0.48</v>
      </c>
      <c r="AC49" s="49">
        <v>45610</v>
      </c>
      <c r="AD49" s="60">
        <v>99.66</v>
      </c>
      <c r="AE49" s="41">
        <v>20.58</v>
      </c>
      <c r="AF49" s="59">
        <v>14.6374</v>
      </c>
      <c r="AG49" s="59">
        <v>4.5659000000000001</v>
      </c>
      <c r="AH49" s="1">
        <v>9.2419000000000011</v>
      </c>
      <c r="AI49" s="59">
        <v>98.93</v>
      </c>
      <c r="AJ49" s="56">
        <v>20.9</v>
      </c>
      <c r="AK49" s="59">
        <v>2.3954</v>
      </c>
      <c r="AL49" s="1">
        <v>1.9842</v>
      </c>
      <c r="AM49" s="5"/>
    </row>
    <row r="50" spans="1:39" x14ac:dyDescent="0.3">
      <c r="A50" s="8">
        <v>45427</v>
      </c>
      <c r="B50" s="4">
        <v>0.52083333333333337</v>
      </c>
      <c r="C50" s="4">
        <v>0.625</v>
      </c>
      <c r="D50" s="8">
        <v>45427</v>
      </c>
      <c r="E50" s="1" t="s">
        <v>41</v>
      </c>
      <c r="F50" s="1" t="s">
        <v>0</v>
      </c>
      <c r="G50" s="1" t="s">
        <v>42</v>
      </c>
      <c r="H50" s="1" t="s">
        <v>43</v>
      </c>
      <c r="I50" s="1" t="s">
        <v>0</v>
      </c>
      <c r="J50" s="1" t="s">
        <v>0</v>
      </c>
      <c r="K50" s="1" t="s">
        <v>0</v>
      </c>
      <c r="L50" s="1" t="s">
        <v>44</v>
      </c>
      <c r="M50" s="1">
        <f t="shared" si="0"/>
        <v>49</v>
      </c>
      <c r="N50" s="1" t="s">
        <v>19</v>
      </c>
      <c r="O50" s="1" t="s">
        <v>2</v>
      </c>
      <c r="P50" s="1">
        <v>95.34</v>
      </c>
      <c r="Q50" s="1">
        <v>21.98</v>
      </c>
      <c r="R50" s="1">
        <v>79</v>
      </c>
      <c r="S50" s="7">
        <v>2.6</v>
      </c>
      <c r="T50" s="1" t="s">
        <v>3</v>
      </c>
      <c r="U50" s="1" t="s">
        <v>0</v>
      </c>
      <c r="V50" s="1" t="s">
        <v>51</v>
      </c>
      <c r="W50" s="1">
        <v>55.42</v>
      </c>
      <c r="X50" s="1">
        <v>-1.76</v>
      </c>
      <c r="Y50" s="1">
        <v>11.74</v>
      </c>
      <c r="Z50" s="1">
        <v>47.41</v>
      </c>
      <c r="AA50" s="1">
        <v>-1.27</v>
      </c>
      <c r="AB50" s="1">
        <v>11.33</v>
      </c>
      <c r="AC50" s="49">
        <v>45610</v>
      </c>
      <c r="AD50" s="60">
        <v>92.56</v>
      </c>
      <c r="AE50" s="41">
        <v>17.940000000000001</v>
      </c>
      <c r="AF50" s="62">
        <v>11.673999999999999</v>
      </c>
      <c r="AG50" s="59">
        <v>3.7972999999999999</v>
      </c>
      <c r="AH50" s="1">
        <v>7.0208000000000004</v>
      </c>
      <c r="AI50" s="59">
        <v>91.74</v>
      </c>
      <c r="AJ50" s="57">
        <v>19</v>
      </c>
      <c r="AK50" s="62">
        <v>1.7809999999999999</v>
      </c>
      <c r="AL50" s="1">
        <v>1.3505</v>
      </c>
      <c r="AM50" s="5" t="s">
        <v>59</v>
      </c>
    </row>
    <row r="51" spans="1:39" x14ac:dyDescent="0.3">
      <c r="A51" s="8">
        <v>45427</v>
      </c>
      <c r="B51" s="4">
        <v>0.52083333333333337</v>
      </c>
      <c r="C51" s="4">
        <v>0.625</v>
      </c>
      <c r="D51" s="8">
        <v>45427</v>
      </c>
      <c r="E51" s="1" t="s">
        <v>41</v>
      </c>
      <c r="F51" s="1" t="s">
        <v>0</v>
      </c>
      <c r="G51" s="1" t="s">
        <v>42</v>
      </c>
      <c r="H51" s="1" t="s">
        <v>43</v>
      </c>
      <c r="I51" s="1" t="s">
        <v>0</v>
      </c>
      <c r="J51" s="1" t="s">
        <v>0</v>
      </c>
      <c r="K51" s="1" t="s">
        <v>0</v>
      </c>
      <c r="L51" s="1" t="s">
        <v>44</v>
      </c>
      <c r="M51" s="1">
        <f t="shared" si="0"/>
        <v>50</v>
      </c>
      <c r="N51" s="1" t="s">
        <v>19</v>
      </c>
      <c r="O51" s="1" t="s">
        <v>2</v>
      </c>
      <c r="P51" s="1">
        <v>105.57</v>
      </c>
      <c r="Q51" s="1">
        <v>25.62</v>
      </c>
      <c r="R51" s="1">
        <v>76</v>
      </c>
      <c r="S51" s="7">
        <v>5</v>
      </c>
      <c r="T51" s="1" t="s">
        <v>3</v>
      </c>
      <c r="U51" s="1" t="s">
        <v>0</v>
      </c>
      <c r="V51" s="1" t="s">
        <v>52</v>
      </c>
      <c r="W51" s="1">
        <v>57.65</v>
      </c>
      <c r="X51" s="1">
        <v>-1.18</v>
      </c>
      <c r="Y51" s="1">
        <v>10.42</v>
      </c>
      <c r="Z51" s="1">
        <v>42.36</v>
      </c>
      <c r="AA51" s="1">
        <v>0.4</v>
      </c>
      <c r="AB51" s="1">
        <v>10.76</v>
      </c>
      <c r="AC51" s="49">
        <v>45610</v>
      </c>
      <c r="AD51" s="60">
        <v>103.21</v>
      </c>
      <c r="AE51" s="41">
        <v>22.07</v>
      </c>
      <c r="AF51" s="59">
        <v>17.005400000000002</v>
      </c>
      <c r="AG51" s="59">
        <v>5.3437000000000001</v>
      </c>
      <c r="AH51" s="1">
        <v>10.751199999999999</v>
      </c>
      <c r="AI51" s="59">
        <v>101.56</v>
      </c>
      <c r="AJ51" s="56">
        <v>23.02</v>
      </c>
      <c r="AK51" s="59">
        <v>2.8321000000000001</v>
      </c>
      <c r="AL51" s="1">
        <v>2.4024999999999999</v>
      </c>
      <c r="AM51" s="5"/>
    </row>
    <row r="52" spans="1:39" x14ac:dyDescent="0.3">
      <c r="A52" s="8">
        <v>45427</v>
      </c>
      <c r="B52" s="4">
        <v>0.52083333333333337</v>
      </c>
      <c r="C52" s="4">
        <v>0.625</v>
      </c>
      <c r="D52" s="8">
        <v>45427</v>
      </c>
      <c r="E52" s="1" t="s">
        <v>41</v>
      </c>
      <c r="F52" s="1" t="s">
        <v>0</v>
      </c>
      <c r="G52" s="1" t="s">
        <v>42</v>
      </c>
      <c r="H52" s="1" t="s">
        <v>43</v>
      </c>
      <c r="I52" s="1" t="s">
        <v>0</v>
      </c>
      <c r="J52" s="1" t="s">
        <v>0</v>
      </c>
      <c r="K52" s="1" t="s">
        <v>0</v>
      </c>
      <c r="L52" s="1" t="s">
        <v>44</v>
      </c>
      <c r="M52" s="1">
        <f t="shared" si="0"/>
        <v>51</v>
      </c>
      <c r="N52" s="1" t="s">
        <v>19</v>
      </c>
      <c r="O52" s="1" t="s">
        <v>2</v>
      </c>
      <c r="P52" s="1">
        <v>101.14</v>
      </c>
      <c r="Q52" s="1">
        <v>23.64</v>
      </c>
      <c r="R52" s="1">
        <v>75</v>
      </c>
      <c r="S52" s="7">
        <v>5</v>
      </c>
      <c r="T52" s="1" t="s">
        <v>3</v>
      </c>
      <c r="U52" s="1" t="s">
        <v>0</v>
      </c>
      <c r="V52" s="1" t="s">
        <v>53</v>
      </c>
      <c r="W52" s="1">
        <v>55.5</v>
      </c>
      <c r="X52" s="1">
        <v>-0.38</v>
      </c>
      <c r="Y52" s="1">
        <v>12.02</v>
      </c>
      <c r="Z52" s="1">
        <v>44.13</v>
      </c>
      <c r="AA52" s="1">
        <v>1.86</v>
      </c>
      <c r="AB52" s="1">
        <v>4.7300000000000004</v>
      </c>
      <c r="AC52" s="49">
        <v>45610</v>
      </c>
      <c r="AD52" s="60">
        <v>88.37</v>
      </c>
      <c r="AE52" s="41">
        <v>19.59</v>
      </c>
      <c r="AF52" s="59">
        <v>12.2811</v>
      </c>
      <c r="AG52" s="59">
        <v>4.3377999999999997</v>
      </c>
      <c r="AH52" s="1">
        <v>7.2584999999999997</v>
      </c>
      <c r="AI52" s="60">
        <v>87.3</v>
      </c>
      <c r="AJ52" s="57">
        <v>21.6</v>
      </c>
      <c r="AK52" s="59">
        <v>2.2686000000000002</v>
      </c>
      <c r="AL52" s="1">
        <v>1.6608000000000001</v>
      </c>
      <c r="AM52" s="5" t="s">
        <v>59</v>
      </c>
    </row>
    <row r="53" spans="1:39" x14ac:dyDescent="0.3">
      <c r="A53" s="8">
        <v>45427</v>
      </c>
      <c r="B53" s="4">
        <v>0.52083333333333337</v>
      </c>
      <c r="C53" s="4">
        <v>0.625</v>
      </c>
      <c r="D53" s="8">
        <v>45427</v>
      </c>
      <c r="E53" s="1" t="s">
        <v>41</v>
      </c>
      <c r="F53" s="1" t="s">
        <v>0</v>
      </c>
      <c r="G53" s="1" t="s">
        <v>42</v>
      </c>
      <c r="H53" s="1" t="s">
        <v>43</v>
      </c>
      <c r="I53" s="1" t="s">
        <v>0</v>
      </c>
      <c r="J53" s="1" t="s">
        <v>0</v>
      </c>
      <c r="K53" s="1" t="s">
        <v>0</v>
      </c>
      <c r="L53" s="1" t="s">
        <v>44</v>
      </c>
      <c r="M53" s="1">
        <f t="shared" si="0"/>
        <v>52</v>
      </c>
      <c r="N53" s="1" t="s">
        <v>19</v>
      </c>
      <c r="O53" s="1" t="s">
        <v>2</v>
      </c>
      <c r="P53" s="1">
        <v>121.05</v>
      </c>
      <c r="Q53" s="1">
        <v>35.119999999999997</v>
      </c>
      <c r="R53" s="1">
        <v>71</v>
      </c>
      <c r="S53" s="7">
        <v>4</v>
      </c>
      <c r="T53" s="1" t="s">
        <v>3</v>
      </c>
      <c r="U53" s="1" t="s">
        <v>0</v>
      </c>
      <c r="V53" s="1" t="s">
        <v>5</v>
      </c>
      <c r="W53" s="1">
        <v>56.95</v>
      </c>
      <c r="X53" s="1">
        <v>-1.23</v>
      </c>
      <c r="Y53" s="1">
        <v>14.98</v>
      </c>
      <c r="Z53" s="1">
        <v>43.06</v>
      </c>
      <c r="AA53" s="1">
        <v>-0.89</v>
      </c>
      <c r="AB53" s="1">
        <v>11.92</v>
      </c>
      <c r="AC53" s="49">
        <v>45610</v>
      </c>
      <c r="AD53" s="60">
        <v>123.2</v>
      </c>
      <c r="AE53" s="41">
        <v>24.11</v>
      </c>
      <c r="AF53" s="59">
        <v>24.800599999999999</v>
      </c>
      <c r="AG53" s="59">
        <v>7.7728999999999999</v>
      </c>
      <c r="AH53" s="1">
        <v>14.982700000000001</v>
      </c>
      <c r="AI53" s="59">
        <v>121.85</v>
      </c>
      <c r="AJ53" s="56">
        <v>25.41</v>
      </c>
      <c r="AK53" s="59">
        <v>3.7814000000000001</v>
      </c>
      <c r="AL53" s="1">
        <v>3.3006000000000002</v>
      </c>
      <c r="AM53" s="5"/>
    </row>
    <row r="54" spans="1:39" x14ac:dyDescent="0.3">
      <c r="A54" s="8">
        <v>45427</v>
      </c>
      <c r="B54" s="4">
        <v>0.52083333333333337</v>
      </c>
      <c r="C54" s="4">
        <v>0.625</v>
      </c>
      <c r="D54" s="8">
        <v>45427</v>
      </c>
      <c r="E54" s="1" t="s">
        <v>41</v>
      </c>
      <c r="F54" s="1" t="s">
        <v>0</v>
      </c>
      <c r="G54" s="1" t="s">
        <v>42</v>
      </c>
      <c r="H54" s="1" t="s">
        <v>43</v>
      </c>
      <c r="I54" s="1" t="s">
        <v>0</v>
      </c>
      <c r="J54" s="1" t="s">
        <v>0</v>
      </c>
      <c r="K54" s="1" t="s">
        <v>0</v>
      </c>
      <c r="L54" s="1" t="s">
        <v>44</v>
      </c>
      <c r="M54" s="1">
        <f t="shared" si="0"/>
        <v>53</v>
      </c>
      <c r="N54" s="1" t="s">
        <v>19</v>
      </c>
      <c r="O54" s="1">
        <v>3</v>
      </c>
      <c r="P54" s="1">
        <v>101.29</v>
      </c>
      <c r="Q54" s="1">
        <v>25.15</v>
      </c>
      <c r="R54" s="1">
        <v>83</v>
      </c>
      <c r="S54" s="7">
        <v>4.8</v>
      </c>
      <c r="T54" s="1" t="s">
        <v>3</v>
      </c>
      <c r="U54" s="1" t="s">
        <v>0</v>
      </c>
      <c r="V54" s="1" t="s">
        <v>1</v>
      </c>
      <c r="W54" s="1">
        <v>58.44</v>
      </c>
      <c r="X54" s="1">
        <v>-1.21</v>
      </c>
      <c r="Y54" s="1">
        <v>9.2200000000000006</v>
      </c>
      <c r="Z54" s="1">
        <v>46.44</v>
      </c>
      <c r="AA54" s="1">
        <v>-0.47</v>
      </c>
      <c r="AB54" s="1">
        <v>1.72</v>
      </c>
      <c r="AC54" s="49">
        <v>45610</v>
      </c>
      <c r="AD54" s="60">
        <v>96.28</v>
      </c>
      <c r="AE54" s="41">
        <v>19.61</v>
      </c>
      <c r="AF54" s="59">
        <v>12.2334</v>
      </c>
      <c r="AG54" s="62">
        <v>4.0940000000000003</v>
      </c>
      <c r="AH54" s="1">
        <v>7.2510000000000003</v>
      </c>
      <c r="AI54" s="60">
        <v>94.3</v>
      </c>
      <c r="AJ54" s="56">
        <v>19.760000000000002</v>
      </c>
      <c r="AK54" s="59">
        <v>2.2517</v>
      </c>
      <c r="AL54" s="1">
        <v>1.5385000000000002</v>
      </c>
      <c r="AM54" s="5"/>
    </row>
    <row r="55" spans="1:39" x14ac:dyDescent="0.3">
      <c r="A55" s="8">
        <v>45427</v>
      </c>
      <c r="B55" s="4">
        <v>0.52083333333333337</v>
      </c>
      <c r="C55" s="4">
        <v>0.625</v>
      </c>
      <c r="D55" s="8">
        <v>45427</v>
      </c>
      <c r="E55" s="1" t="s">
        <v>41</v>
      </c>
      <c r="F55" s="1" t="s">
        <v>0</v>
      </c>
      <c r="G55" s="1" t="s">
        <v>42</v>
      </c>
      <c r="H55" s="1" t="s">
        <v>43</v>
      </c>
      <c r="I55" s="1" t="s">
        <v>0</v>
      </c>
      <c r="J55" s="1" t="s">
        <v>0</v>
      </c>
      <c r="K55" s="1" t="s">
        <v>0</v>
      </c>
      <c r="L55" s="1" t="s">
        <v>44</v>
      </c>
      <c r="M55" s="1">
        <f t="shared" si="0"/>
        <v>54</v>
      </c>
      <c r="N55" s="1" t="s">
        <v>19</v>
      </c>
      <c r="O55" s="1">
        <v>3</v>
      </c>
      <c r="P55" s="1">
        <v>104.22</v>
      </c>
      <c r="Q55" s="1">
        <v>25.8</v>
      </c>
      <c r="R55" s="1">
        <v>80</v>
      </c>
      <c r="S55" s="7">
        <v>5</v>
      </c>
      <c r="T55" s="1" t="s">
        <v>3</v>
      </c>
      <c r="U55" s="1" t="s">
        <v>0</v>
      </c>
      <c r="V55" s="1" t="s">
        <v>1</v>
      </c>
      <c r="W55" s="1">
        <v>62.24</v>
      </c>
      <c r="X55" s="1">
        <v>-2</v>
      </c>
      <c r="Y55" s="1">
        <v>13.5</v>
      </c>
      <c r="Z55" s="1">
        <v>47.23</v>
      </c>
      <c r="AA55" s="1">
        <v>1.28</v>
      </c>
      <c r="AB55" s="1">
        <v>1.99</v>
      </c>
      <c r="AC55" s="49">
        <v>45610</v>
      </c>
      <c r="AD55" s="60">
        <v>98.96</v>
      </c>
      <c r="AE55" s="41">
        <v>20.57</v>
      </c>
      <c r="AF55" s="59">
        <v>14.273300000000001</v>
      </c>
      <c r="AG55" s="59">
        <v>4.3548</v>
      </c>
      <c r="AH55" s="1">
        <v>9.3892000000000007</v>
      </c>
      <c r="AI55" s="59">
        <v>98.23</v>
      </c>
      <c r="AJ55" s="56">
        <v>21.28</v>
      </c>
      <c r="AK55" s="59">
        <v>2.4073000000000002</v>
      </c>
      <c r="AL55" s="1">
        <v>2.0724999999999998</v>
      </c>
      <c r="AM55" s="5" t="s">
        <v>59</v>
      </c>
    </row>
    <row r="56" spans="1:39" x14ac:dyDescent="0.3">
      <c r="A56" s="8">
        <v>45427</v>
      </c>
      <c r="B56" s="4">
        <v>0.52083333333333337</v>
      </c>
      <c r="C56" s="4">
        <v>0.625</v>
      </c>
      <c r="D56" s="8">
        <v>45427</v>
      </c>
      <c r="E56" s="1" t="s">
        <v>41</v>
      </c>
      <c r="F56" s="1" t="s">
        <v>0</v>
      </c>
      <c r="G56" s="1" t="s">
        <v>42</v>
      </c>
      <c r="H56" s="1" t="s">
        <v>43</v>
      </c>
      <c r="I56" s="1" t="s">
        <v>0</v>
      </c>
      <c r="J56" s="1" t="s">
        <v>0</v>
      </c>
      <c r="K56" s="1" t="s">
        <v>0</v>
      </c>
      <c r="L56" s="1" t="s">
        <v>44</v>
      </c>
      <c r="M56" s="1">
        <f t="shared" si="0"/>
        <v>55</v>
      </c>
      <c r="N56" s="1" t="s">
        <v>19</v>
      </c>
      <c r="O56" s="1">
        <v>3</v>
      </c>
      <c r="P56" s="1">
        <v>111.91</v>
      </c>
      <c r="Q56" s="1">
        <v>28.6</v>
      </c>
      <c r="R56" s="1">
        <v>72</v>
      </c>
      <c r="S56" s="7">
        <v>4.4000000000000004</v>
      </c>
      <c r="T56" s="1" t="s">
        <v>3</v>
      </c>
      <c r="U56" s="1" t="s">
        <v>0</v>
      </c>
      <c r="V56" s="1" t="s">
        <v>1</v>
      </c>
      <c r="W56" s="1">
        <v>58.89</v>
      </c>
      <c r="X56" s="1">
        <v>-2.58</v>
      </c>
      <c r="Y56" s="1">
        <v>8.02</v>
      </c>
      <c r="Z56" s="1">
        <v>45.66</v>
      </c>
      <c r="AA56" s="1">
        <v>-1.44</v>
      </c>
      <c r="AB56" s="1">
        <v>1.02</v>
      </c>
      <c r="AC56" s="49">
        <v>45610</v>
      </c>
      <c r="AD56" s="60">
        <v>110.68</v>
      </c>
      <c r="AE56" s="41">
        <v>22.39</v>
      </c>
      <c r="AF56" s="59">
        <v>18.970400000000001</v>
      </c>
      <c r="AG56" s="59">
        <v>5.5488</v>
      </c>
      <c r="AH56" s="1">
        <v>12.8072</v>
      </c>
      <c r="AI56" s="59">
        <v>109.26</v>
      </c>
      <c r="AJ56" s="56">
        <v>23.74</v>
      </c>
      <c r="AK56" s="59">
        <v>2.9902000000000002</v>
      </c>
      <c r="AL56" s="1">
        <v>2.7974000000000001</v>
      </c>
      <c r="AM56" s="5"/>
    </row>
    <row r="57" spans="1:39" x14ac:dyDescent="0.3">
      <c r="A57" s="8">
        <v>45427</v>
      </c>
      <c r="B57" s="4">
        <v>0.52083333333333337</v>
      </c>
      <c r="C57" s="4">
        <v>0.625</v>
      </c>
      <c r="D57" s="8">
        <v>45427</v>
      </c>
      <c r="E57" s="1" t="s">
        <v>41</v>
      </c>
      <c r="F57" s="1" t="s">
        <v>0</v>
      </c>
      <c r="G57" s="1" t="s">
        <v>42</v>
      </c>
      <c r="H57" s="1" t="s">
        <v>43</v>
      </c>
      <c r="I57" s="1" t="s">
        <v>0</v>
      </c>
      <c r="J57" s="1" t="s">
        <v>0</v>
      </c>
      <c r="K57" s="1" t="s">
        <v>0</v>
      </c>
      <c r="L57" s="1" t="s">
        <v>44</v>
      </c>
      <c r="M57" s="1">
        <f t="shared" si="0"/>
        <v>56</v>
      </c>
      <c r="N57" s="1" t="s">
        <v>19</v>
      </c>
      <c r="O57" s="1">
        <v>3</v>
      </c>
      <c r="P57" s="1">
        <v>115.16</v>
      </c>
      <c r="Q57" s="1">
        <v>31</v>
      </c>
      <c r="R57" s="1">
        <v>76</v>
      </c>
      <c r="S57" s="7">
        <v>4.8</v>
      </c>
      <c r="T57" s="1" t="s">
        <v>3</v>
      </c>
      <c r="U57" s="1" t="s">
        <v>0</v>
      </c>
      <c r="V57" s="1" t="s">
        <v>6</v>
      </c>
      <c r="W57" s="1">
        <v>61.54</v>
      </c>
      <c r="X57" s="1">
        <v>-1.81</v>
      </c>
      <c r="Y57" s="1">
        <v>9.2200000000000006</v>
      </c>
      <c r="Z57" s="1">
        <v>44.35</v>
      </c>
      <c r="AA57" s="1">
        <v>0.35</v>
      </c>
      <c r="AB57" s="1">
        <v>1.63</v>
      </c>
      <c r="AC57" s="49">
        <v>45610</v>
      </c>
      <c r="AD57" s="60">
        <v>113.22</v>
      </c>
      <c r="AE57" s="41">
        <v>22.57</v>
      </c>
      <c r="AF57" s="59">
        <v>19.057400000000001</v>
      </c>
      <c r="AG57" s="59">
        <v>6.0510999999999999</v>
      </c>
      <c r="AH57" s="1">
        <v>12.506500000000001</v>
      </c>
      <c r="AI57" s="59">
        <v>112.43</v>
      </c>
      <c r="AJ57" s="56">
        <v>24.42</v>
      </c>
      <c r="AK57" s="59">
        <v>3.2107999999999999</v>
      </c>
      <c r="AL57" s="1">
        <v>2.9058000000000002</v>
      </c>
      <c r="AM57" s="5"/>
    </row>
    <row r="58" spans="1:39" x14ac:dyDescent="0.3">
      <c r="A58" s="8">
        <v>45427</v>
      </c>
      <c r="B58" s="4">
        <v>0.52083333333333337</v>
      </c>
      <c r="C58" s="4">
        <v>0.625</v>
      </c>
      <c r="D58" s="8">
        <v>45427</v>
      </c>
      <c r="E58" s="1" t="s">
        <v>41</v>
      </c>
      <c r="F58" s="1" t="s">
        <v>0</v>
      </c>
      <c r="G58" s="1" t="s">
        <v>42</v>
      </c>
      <c r="H58" s="1" t="s">
        <v>43</v>
      </c>
      <c r="I58" s="1" t="s">
        <v>0</v>
      </c>
      <c r="J58" s="1" t="s">
        <v>0</v>
      </c>
      <c r="K58" s="1" t="s">
        <v>0</v>
      </c>
      <c r="L58" s="1" t="s">
        <v>44</v>
      </c>
      <c r="M58" s="1">
        <f t="shared" si="0"/>
        <v>57</v>
      </c>
      <c r="N58" s="1" t="s">
        <v>19</v>
      </c>
      <c r="O58" s="1">
        <v>3</v>
      </c>
      <c r="P58" s="1">
        <v>103.1</v>
      </c>
      <c r="Q58" s="1">
        <v>26.52</v>
      </c>
      <c r="R58" s="1">
        <v>89</v>
      </c>
      <c r="S58" s="7">
        <v>5.6</v>
      </c>
      <c r="T58" s="1" t="s">
        <v>3</v>
      </c>
      <c r="U58" s="1" t="s">
        <v>0</v>
      </c>
      <c r="V58" s="1" t="s">
        <v>10</v>
      </c>
      <c r="W58" s="1">
        <v>62.87</v>
      </c>
      <c r="X58" s="1">
        <v>-2.25</v>
      </c>
      <c r="Y58" s="1">
        <v>9.31</v>
      </c>
      <c r="Z58" s="1">
        <v>47.56</v>
      </c>
      <c r="AA58" s="1">
        <v>-1.29</v>
      </c>
      <c r="AB58" s="1">
        <v>0.36</v>
      </c>
      <c r="AC58" s="49">
        <v>45610</v>
      </c>
      <c r="AD58" s="60">
        <v>96.29</v>
      </c>
      <c r="AE58" s="41">
        <v>20.71</v>
      </c>
      <c r="AF58" s="59">
        <v>14.9602</v>
      </c>
      <c r="AG58" s="59">
        <v>4.5065999999999997</v>
      </c>
      <c r="AH58" s="1">
        <v>9.3935999999999993</v>
      </c>
      <c r="AI58" s="60">
        <v>93.3</v>
      </c>
      <c r="AJ58" s="56">
        <v>20.55</v>
      </c>
      <c r="AK58" s="59">
        <v>2.4611000000000001</v>
      </c>
      <c r="AL58" s="1">
        <v>1.9759999999999998</v>
      </c>
      <c r="AM58" s="5" t="s">
        <v>59</v>
      </c>
    </row>
    <row r="59" spans="1:39" x14ac:dyDescent="0.3">
      <c r="A59" s="8">
        <v>45427</v>
      </c>
      <c r="B59" s="4">
        <v>0.52083333333333337</v>
      </c>
      <c r="C59" s="4">
        <v>0.625</v>
      </c>
      <c r="D59" s="8">
        <v>45427</v>
      </c>
      <c r="E59" s="1" t="s">
        <v>41</v>
      </c>
      <c r="F59" s="1" t="s">
        <v>0</v>
      </c>
      <c r="G59" s="1" t="s">
        <v>42</v>
      </c>
      <c r="H59" s="1" t="s">
        <v>43</v>
      </c>
      <c r="I59" s="1" t="s">
        <v>0</v>
      </c>
      <c r="J59" s="1" t="s">
        <v>0</v>
      </c>
      <c r="K59" s="1" t="s">
        <v>0</v>
      </c>
      <c r="L59" s="1" t="s">
        <v>44</v>
      </c>
      <c r="M59" s="1">
        <f t="shared" si="0"/>
        <v>58</v>
      </c>
      <c r="N59" s="1" t="s">
        <v>19</v>
      </c>
      <c r="O59" s="1">
        <v>3</v>
      </c>
      <c r="P59" s="1">
        <v>108.5</v>
      </c>
      <c r="Q59" s="1">
        <v>26.57</v>
      </c>
      <c r="R59" s="1">
        <v>79</v>
      </c>
      <c r="S59" s="7">
        <v>4.5999999999999996</v>
      </c>
      <c r="T59" s="1" t="s">
        <v>3</v>
      </c>
      <c r="U59" s="1" t="s">
        <v>0</v>
      </c>
      <c r="V59" s="1" t="s">
        <v>7</v>
      </c>
      <c r="W59" s="1">
        <v>59.55</v>
      </c>
      <c r="X59" s="1">
        <v>-2.61</v>
      </c>
      <c r="Y59" s="1">
        <v>7.5</v>
      </c>
      <c r="Z59" s="1">
        <v>45.35</v>
      </c>
      <c r="AA59" s="1">
        <v>-0.59</v>
      </c>
      <c r="AB59" s="1">
        <v>0.6</v>
      </c>
      <c r="AC59" s="49">
        <v>45610</v>
      </c>
      <c r="AD59" s="60">
        <v>113.24</v>
      </c>
      <c r="AE59" s="41">
        <v>20.54</v>
      </c>
      <c r="AF59" s="59">
        <v>15.415800000000001</v>
      </c>
      <c r="AG59" s="59">
        <v>5.2058999999999997</v>
      </c>
      <c r="AH59" s="1">
        <v>9.2151000000000014</v>
      </c>
      <c r="AI59" s="59">
        <v>112.19</v>
      </c>
      <c r="AJ59" s="56">
        <v>23.29</v>
      </c>
      <c r="AK59" s="62">
        <v>2.891</v>
      </c>
      <c r="AL59" s="1">
        <v>2.1123000000000003</v>
      </c>
      <c r="AM59" s="5" t="s">
        <v>58</v>
      </c>
    </row>
    <row r="60" spans="1:39" x14ac:dyDescent="0.3">
      <c r="A60" s="8">
        <v>45427</v>
      </c>
      <c r="B60" s="4">
        <v>0.52083333333333337</v>
      </c>
      <c r="C60" s="4">
        <v>0.625</v>
      </c>
      <c r="D60" s="8">
        <v>45427</v>
      </c>
      <c r="E60" s="1" t="s">
        <v>41</v>
      </c>
      <c r="F60" s="1" t="s">
        <v>0</v>
      </c>
      <c r="G60" s="1" t="s">
        <v>42</v>
      </c>
      <c r="H60" s="1" t="s">
        <v>43</v>
      </c>
      <c r="I60" s="1" t="s">
        <v>0</v>
      </c>
      <c r="J60" s="1" t="s">
        <v>0</v>
      </c>
      <c r="K60" s="1" t="s">
        <v>0</v>
      </c>
      <c r="L60" s="1" t="s">
        <v>44</v>
      </c>
      <c r="M60" s="1">
        <f t="shared" si="0"/>
        <v>59</v>
      </c>
      <c r="N60" s="1" t="s">
        <v>19</v>
      </c>
      <c r="O60" s="1">
        <v>3</v>
      </c>
      <c r="P60" s="1">
        <v>99.71</v>
      </c>
      <c r="Q60" s="1">
        <v>23.78</v>
      </c>
      <c r="R60" s="1">
        <v>79</v>
      </c>
      <c r="S60" s="7">
        <v>5.6</v>
      </c>
      <c r="T60" s="1" t="s">
        <v>3</v>
      </c>
      <c r="U60" s="1" t="s">
        <v>0</v>
      </c>
      <c r="V60" s="1" t="s">
        <v>1</v>
      </c>
      <c r="W60" s="1">
        <v>59.42</v>
      </c>
      <c r="X60" s="1">
        <v>-0.92</v>
      </c>
      <c r="Y60" s="1">
        <v>9.4600000000000009</v>
      </c>
      <c r="Z60" s="1">
        <v>42.33</v>
      </c>
      <c r="AA60" s="1">
        <v>3.85</v>
      </c>
      <c r="AB60" s="1">
        <v>3.18</v>
      </c>
      <c r="AC60" s="49">
        <v>45610</v>
      </c>
      <c r="AD60" s="60">
        <v>97.67</v>
      </c>
      <c r="AE60" s="42">
        <v>19.5</v>
      </c>
      <c r="AF60" s="59">
        <v>13.525700000000001</v>
      </c>
      <c r="AG60" s="59">
        <v>3.8675000000000002</v>
      </c>
      <c r="AH60" s="1">
        <v>7.773600000000001</v>
      </c>
      <c r="AI60" s="59">
        <v>97.27</v>
      </c>
      <c r="AJ60" s="56">
        <v>20.65</v>
      </c>
      <c r="AK60" s="59">
        <v>2.1172</v>
      </c>
      <c r="AL60" s="1">
        <v>1.7320999999999998</v>
      </c>
      <c r="AM60" s="5" t="s">
        <v>58</v>
      </c>
    </row>
    <row r="61" spans="1:39" x14ac:dyDescent="0.3">
      <c r="A61" s="8">
        <v>45427</v>
      </c>
      <c r="B61" s="4">
        <v>0.52083333333333337</v>
      </c>
      <c r="C61" s="4">
        <v>0.625</v>
      </c>
      <c r="D61" s="8">
        <v>45427</v>
      </c>
      <c r="E61" s="1" t="s">
        <v>41</v>
      </c>
      <c r="F61" s="1" t="s">
        <v>0</v>
      </c>
      <c r="G61" s="1" t="s">
        <v>42</v>
      </c>
      <c r="H61" s="1" t="s">
        <v>43</v>
      </c>
      <c r="I61" s="1" t="s">
        <v>0</v>
      </c>
      <c r="J61" s="1" t="s">
        <v>0</v>
      </c>
      <c r="K61" s="1" t="s">
        <v>0</v>
      </c>
      <c r="L61" s="1" t="s">
        <v>44</v>
      </c>
      <c r="M61" s="1">
        <f t="shared" si="0"/>
        <v>60</v>
      </c>
      <c r="N61" s="1" t="s">
        <v>19</v>
      </c>
      <c r="O61" s="1">
        <v>3</v>
      </c>
      <c r="P61" s="1">
        <v>101.66</v>
      </c>
      <c r="Q61" s="1">
        <v>23.73</v>
      </c>
      <c r="R61" s="1">
        <v>80</v>
      </c>
      <c r="S61" s="7">
        <v>5.6</v>
      </c>
      <c r="T61" s="1" t="s">
        <v>3</v>
      </c>
      <c r="U61" s="1" t="s">
        <v>0</v>
      </c>
      <c r="V61" s="1" t="s">
        <v>7</v>
      </c>
      <c r="W61" s="1">
        <v>56.9</v>
      </c>
      <c r="X61" s="1">
        <v>-1.86</v>
      </c>
      <c r="Y61" s="1">
        <v>6.17</v>
      </c>
      <c r="Z61" s="1">
        <v>45.7</v>
      </c>
      <c r="AA61" s="1">
        <v>-0.72</v>
      </c>
      <c r="AB61" s="1">
        <v>1.1499999999999999</v>
      </c>
      <c r="AC61" s="49">
        <v>45610</v>
      </c>
      <c r="AD61" s="60">
        <v>94.64</v>
      </c>
      <c r="AE61" s="41">
        <v>19.41</v>
      </c>
      <c r="AF61" s="59">
        <v>13.2149</v>
      </c>
      <c r="AG61" s="59">
        <v>4.4108999999999998</v>
      </c>
      <c r="AH61" s="1">
        <v>8.1492000000000004</v>
      </c>
      <c r="AI61" s="59">
        <v>94.77</v>
      </c>
      <c r="AJ61" s="56">
        <v>20.11</v>
      </c>
      <c r="AK61" s="59">
        <v>2.2121</v>
      </c>
      <c r="AL61" s="1">
        <v>1.7057000000000002</v>
      </c>
      <c r="AM61" s="5"/>
    </row>
    <row r="62" spans="1:39" x14ac:dyDescent="0.3">
      <c r="A62" s="8"/>
      <c r="B62" s="4"/>
      <c r="C62" s="4"/>
      <c r="D62" s="8"/>
      <c r="S62" s="7"/>
      <c r="AM62" s="5"/>
    </row>
    <row r="63" spans="1:39" x14ac:dyDescent="0.3">
      <c r="A63" s="8"/>
      <c r="B63" s="4"/>
      <c r="C63" s="4"/>
      <c r="D63" s="8"/>
      <c r="S63" s="7"/>
      <c r="AM63" s="5"/>
    </row>
    <row r="64" spans="1:39" x14ac:dyDescent="0.3">
      <c r="A64" s="8"/>
      <c r="B64" s="4"/>
      <c r="C64" s="4"/>
      <c r="D64" s="8"/>
      <c r="S64" s="7"/>
      <c r="AM64" s="5"/>
    </row>
    <row r="65" spans="1:39" x14ac:dyDescent="0.3">
      <c r="A65" s="8"/>
      <c r="B65" s="4"/>
      <c r="C65" s="4"/>
      <c r="D65" s="8"/>
      <c r="S65" s="7"/>
      <c r="AM65" s="5"/>
    </row>
    <row r="66" spans="1:39" x14ac:dyDescent="0.3">
      <c r="A66" s="8"/>
      <c r="B66" s="4"/>
      <c r="C66" s="4"/>
      <c r="D66" s="8"/>
      <c r="S66" s="7"/>
      <c r="AM66" s="5"/>
    </row>
    <row r="67" spans="1:39" x14ac:dyDescent="0.3">
      <c r="A67" s="8"/>
      <c r="B67" s="4"/>
      <c r="C67" s="4"/>
      <c r="D67" s="8"/>
      <c r="S67" s="7"/>
      <c r="AM67" s="5"/>
    </row>
    <row r="68" spans="1:39" x14ac:dyDescent="0.3">
      <c r="A68" s="8"/>
      <c r="B68" s="4"/>
      <c r="C68" s="4"/>
      <c r="D68" s="8"/>
      <c r="S68" s="7"/>
      <c r="AM68" s="5"/>
    </row>
    <row r="69" spans="1:39" x14ac:dyDescent="0.3">
      <c r="A69" s="8"/>
      <c r="B69" s="4"/>
      <c r="C69" s="4"/>
      <c r="D69" s="8"/>
      <c r="S69" s="7"/>
      <c r="AM69" s="5"/>
    </row>
    <row r="70" spans="1:39" x14ac:dyDescent="0.3">
      <c r="A70" s="8"/>
      <c r="B70" s="4"/>
      <c r="C70" s="4"/>
      <c r="D70" s="8"/>
      <c r="S70" s="7"/>
      <c r="AM70" s="5"/>
    </row>
    <row r="71" spans="1:39" x14ac:dyDescent="0.3">
      <c r="A71" s="8"/>
      <c r="B71" s="4"/>
      <c r="C71" s="4"/>
      <c r="D71" s="8"/>
      <c r="S71" s="7"/>
      <c r="AM71" s="5"/>
    </row>
    <row r="72" spans="1:39" x14ac:dyDescent="0.3">
      <c r="A72" s="8"/>
      <c r="B72" s="4"/>
      <c r="C72" s="4"/>
      <c r="D72" s="8"/>
      <c r="S72" s="7"/>
      <c r="AM72" s="5"/>
    </row>
    <row r="73" spans="1:39" x14ac:dyDescent="0.3">
      <c r="A73" s="8"/>
      <c r="B73" s="4"/>
      <c r="C73" s="4"/>
      <c r="D73" s="8"/>
      <c r="S73" s="7"/>
      <c r="AM73" s="5"/>
    </row>
    <row r="74" spans="1:39" x14ac:dyDescent="0.3">
      <c r="A74" s="8"/>
      <c r="B74" s="4"/>
      <c r="C74" s="4"/>
      <c r="D74" s="8"/>
      <c r="S74" s="7"/>
      <c r="AM74" s="5"/>
    </row>
    <row r="75" spans="1:39" x14ac:dyDescent="0.3">
      <c r="A75" s="8"/>
      <c r="B75" s="4"/>
      <c r="C75" s="4"/>
      <c r="D75" s="8"/>
      <c r="S75" s="7"/>
      <c r="AM75" s="5"/>
    </row>
    <row r="76" spans="1:39" x14ac:dyDescent="0.3">
      <c r="A76" s="8"/>
      <c r="B76" s="4"/>
      <c r="C76" s="4"/>
      <c r="D76" s="8"/>
      <c r="S76" s="7"/>
      <c r="AM76" s="5"/>
    </row>
    <row r="77" spans="1:39" x14ac:dyDescent="0.3">
      <c r="A77" s="8"/>
      <c r="B77" s="4"/>
      <c r="C77" s="4"/>
      <c r="D77" s="8"/>
      <c r="S77" s="7"/>
      <c r="AM77" s="5"/>
    </row>
    <row r="78" spans="1:39" x14ac:dyDescent="0.3">
      <c r="A78" s="8"/>
      <c r="B78" s="4"/>
      <c r="C78" s="4"/>
      <c r="D78" s="8"/>
      <c r="S78" s="7"/>
      <c r="AM78" s="5"/>
    </row>
    <row r="79" spans="1:39" x14ac:dyDescent="0.3">
      <c r="B79" s="4"/>
      <c r="C79" s="4"/>
      <c r="S79" s="7"/>
    </row>
    <row r="80" spans="1:39" x14ac:dyDescent="0.3">
      <c r="B80" s="4"/>
      <c r="C80" s="4"/>
    </row>
    <row r="81" spans="2:3" x14ac:dyDescent="0.3">
      <c r="B81" s="4"/>
      <c r="C81" s="4"/>
    </row>
    <row r="82" spans="2:3" x14ac:dyDescent="0.3">
      <c r="B82" s="4"/>
      <c r="C82" s="4"/>
    </row>
    <row r="83" spans="2:3" x14ac:dyDescent="0.3">
      <c r="B83" s="4"/>
      <c r="C83" s="4"/>
    </row>
    <row r="84" spans="2:3" x14ac:dyDescent="0.3">
      <c r="B84" s="4"/>
      <c r="C84" s="4"/>
    </row>
    <row r="85" spans="2:3" x14ac:dyDescent="0.3">
      <c r="B85" s="4"/>
      <c r="C85" s="4"/>
    </row>
    <row r="86" spans="2:3" x14ac:dyDescent="0.3">
      <c r="B86" s="4"/>
      <c r="C86" s="4"/>
    </row>
    <row r="87" spans="2:3" x14ac:dyDescent="0.3">
      <c r="B87" s="4"/>
      <c r="C87" s="4"/>
    </row>
    <row r="88" spans="2:3" x14ac:dyDescent="0.3">
      <c r="B88" s="4"/>
      <c r="C88" s="4"/>
    </row>
    <row r="89" spans="2:3" x14ac:dyDescent="0.3">
      <c r="B89" s="4"/>
      <c r="C89" s="4"/>
    </row>
    <row r="90" spans="2:3" x14ac:dyDescent="0.3">
      <c r="B90" s="4"/>
      <c r="C90" s="4"/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4ACA-EBEA-4C31-8F5A-9F98B01C904E}">
  <dimension ref="A1:O79"/>
  <sheetViews>
    <sheetView view="pageLayout" zoomScaleNormal="100" workbookViewId="0">
      <selection activeCell="J7" sqref="J7"/>
    </sheetView>
  </sheetViews>
  <sheetFormatPr defaultColWidth="9.109375" defaultRowHeight="14.4" x14ac:dyDescent="0.3"/>
  <cols>
    <col min="1" max="1" width="12.6640625" style="1" customWidth="1"/>
    <col min="2" max="2" width="7.88671875" style="1" customWidth="1"/>
    <col min="3" max="3" width="9.33203125" style="1" customWidth="1"/>
    <col min="4" max="4" width="9.5546875" style="1" customWidth="1"/>
    <col min="5" max="5" width="11.33203125" style="6" customWidth="1"/>
    <col min="6" max="6" width="8" style="1" customWidth="1"/>
    <col min="7" max="7" width="11.109375" style="1" customWidth="1"/>
    <col min="8" max="9" width="11.6640625" style="1" customWidth="1"/>
    <col min="10" max="10" width="13.44140625" style="1" bestFit="1" customWidth="1"/>
    <col min="11" max="11" width="12.109375" style="1" bestFit="1" customWidth="1"/>
    <col min="12" max="12" width="13.5546875" style="1" customWidth="1"/>
    <col min="13" max="13" width="12.5546875" style="1" customWidth="1"/>
    <col min="14" max="14" width="12.44140625" style="1" bestFit="1" customWidth="1"/>
    <col min="15" max="15" width="26.109375" style="1" customWidth="1"/>
    <col min="16" max="16384" width="9.109375" style="1"/>
  </cols>
  <sheetData>
    <row r="1" spans="1:15" s="3" customFormat="1" ht="43.2" x14ac:dyDescent="0.3">
      <c r="A1" s="9" t="s">
        <v>70</v>
      </c>
      <c r="B1" s="9" t="s">
        <v>71</v>
      </c>
      <c r="C1" s="9" t="s">
        <v>72</v>
      </c>
      <c r="D1" s="9" t="s">
        <v>73</v>
      </c>
      <c r="E1" s="15" t="s">
        <v>74</v>
      </c>
      <c r="F1" s="9" t="s">
        <v>69</v>
      </c>
      <c r="G1" s="9" t="s">
        <v>68</v>
      </c>
      <c r="H1" s="9" t="s">
        <v>67</v>
      </c>
      <c r="I1" s="9" t="s">
        <v>77</v>
      </c>
      <c r="J1" s="15" t="s">
        <v>76</v>
      </c>
      <c r="K1" s="9" t="s">
        <v>78</v>
      </c>
      <c r="L1" s="9" t="s">
        <v>79</v>
      </c>
      <c r="M1" s="9" t="s">
        <v>75</v>
      </c>
      <c r="N1" s="9" t="s">
        <v>64</v>
      </c>
      <c r="O1" s="10" t="s">
        <v>66</v>
      </c>
    </row>
    <row r="2" spans="1:15" x14ac:dyDescent="0.3">
      <c r="A2" s="14">
        <v>45427</v>
      </c>
      <c r="B2" s="11">
        <v>1</v>
      </c>
      <c r="C2" s="11">
        <v>1</v>
      </c>
      <c r="D2" s="11">
        <v>104.74</v>
      </c>
      <c r="E2" s="12">
        <v>2</v>
      </c>
      <c r="F2" s="11" t="s">
        <v>3</v>
      </c>
      <c r="G2" s="16">
        <v>45603</v>
      </c>
      <c r="H2" s="11"/>
      <c r="I2" s="11"/>
      <c r="J2" s="11"/>
      <c r="K2" s="11"/>
      <c r="L2" s="11"/>
      <c r="M2" s="11"/>
      <c r="N2" s="11"/>
      <c r="O2" s="11"/>
    </row>
    <row r="3" spans="1:15" x14ac:dyDescent="0.3">
      <c r="A3" s="14">
        <v>45427</v>
      </c>
      <c r="B3" s="11">
        <v>2</v>
      </c>
      <c r="C3" s="11">
        <v>1</v>
      </c>
      <c r="D3" s="11">
        <v>105.98</v>
      </c>
      <c r="E3" s="13">
        <v>2.2000000000000002</v>
      </c>
      <c r="F3" s="11" t="s">
        <v>3</v>
      </c>
      <c r="G3" s="16">
        <v>45603</v>
      </c>
      <c r="H3" s="11"/>
      <c r="I3" s="11"/>
      <c r="J3" s="11"/>
      <c r="K3" s="11"/>
      <c r="L3" s="11"/>
      <c r="M3" s="11"/>
      <c r="N3" s="11"/>
      <c r="O3" s="11"/>
    </row>
    <row r="4" spans="1:15" x14ac:dyDescent="0.3">
      <c r="A4" s="14">
        <v>45427</v>
      </c>
      <c r="B4" s="11">
        <v>3</v>
      </c>
      <c r="C4" s="11">
        <v>1</v>
      </c>
      <c r="D4" s="11">
        <v>116.3</v>
      </c>
      <c r="E4" s="13">
        <v>2.2000000000000002</v>
      </c>
      <c r="F4" s="11" t="s">
        <v>3</v>
      </c>
      <c r="G4" s="16">
        <v>45603</v>
      </c>
      <c r="H4" s="11"/>
      <c r="I4" s="11"/>
      <c r="J4" s="11"/>
      <c r="K4" s="11"/>
      <c r="L4" s="11"/>
      <c r="M4" s="11"/>
      <c r="N4" s="11"/>
      <c r="O4" s="11"/>
    </row>
    <row r="5" spans="1:15" x14ac:dyDescent="0.3">
      <c r="A5" s="14">
        <v>45427</v>
      </c>
      <c r="B5" s="11">
        <v>4</v>
      </c>
      <c r="C5" s="11">
        <v>1</v>
      </c>
      <c r="D5" s="11">
        <v>116.86</v>
      </c>
      <c r="E5" s="13">
        <v>2</v>
      </c>
      <c r="F5" s="11" t="s">
        <v>3</v>
      </c>
      <c r="G5" s="16">
        <v>45603</v>
      </c>
      <c r="H5" s="11"/>
      <c r="I5" s="11"/>
      <c r="J5" s="11"/>
      <c r="K5" s="11"/>
      <c r="L5" s="11"/>
      <c r="M5" s="11"/>
      <c r="N5" s="11"/>
      <c r="O5" s="11"/>
    </row>
    <row r="6" spans="1:15" x14ac:dyDescent="0.3">
      <c r="A6" s="14">
        <v>45427</v>
      </c>
      <c r="B6" s="11">
        <v>5</v>
      </c>
      <c r="C6" s="11">
        <v>2</v>
      </c>
      <c r="D6" s="11">
        <v>93.71</v>
      </c>
      <c r="E6" s="13">
        <v>4</v>
      </c>
      <c r="F6" s="11" t="s">
        <v>3</v>
      </c>
      <c r="G6" s="16">
        <v>45603</v>
      </c>
      <c r="H6" s="11"/>
      <c r="I6" s="11"/>
      <c r="J6" s="11"/>
      <c r="K6" s="11"/>
      <c r="L6" s="11"/>
      <c r="M6" s="11"/>
      <c r="N6" s="11"/>
      <c r="O6" s="11"/>
    </row>
    <row r="7" spans="1:15" x14ac:dyDescent="0.3">
      <c r="A7" s="14">
        <v>45427</v>
      </c>
      <c r="B7" s="11">
        <v>6</v>
      </c>
      <c r="C7" s="11">
        <v>1</v>
      </c>
      <c r="D7" s="11">
        <v>105.11</v>
      </c>
      <c r="E7" s="13">
        <v>2.2000000000000002</v>
      </c>
      <c r="F7" s="11" t="s">
        <v>3</v>
      </c>
      <c r="G7" s="16">
        <v>45603</v>
      </c>
      <c r="H7" s="11"/>
      <c r="I7" s="11"/>
      <c r="J7" s="11"/>
      <c r="K7" s="11"/>
      <c r="L7" s="11"/>
      <c r="M7" s="11"/>
      <c r="N7" s="11"/>
      <c r="O7" s="11"/>
    </row>
    <row r="8" spans="1:15" x14ac:dyDescent="0.3">
      <c r="A8" s="14">
        <v>45427</v>
      </c>
      <c r="B8" s="11">
        <v>7</v>
      </c>
      <c r="C8" s="11">
        <v>1</v>
      </c>
      <c r="D8" s="11">
        <v>125.54</v>
      </c>
      <c r="E8" s="13">
        <v>2</v>
      </c>
      <c r="F8" s="11" t="s">
        <v>3</v>
      </c>
      <c r="G8" s="17">
        <v>45610</v>
      </c>
      <c r="H8" s="11"/>
      <c r="I8" s="11"/>
      <c r="J8" s="11"/>
      <c r="K8" s="11"/>
      <c r="L8" s="11"/>
      <c r="M8" s="11"/>
      <c r="N8" s="11"/>
      <c r="O8" s="11"/>
    </row>
    <row r="9" spans="1:15" x14ac:dyDescent="0.3">
      <c r="A9" s="14">
        <v>45427</v>
      </c>
      <c r="B9" s="11">
        <v>8</v>
      </c>
      <c r="C9" s="11">
        <v>1</v>
      </c>
      <c r="D9" s="11">
        <v>112.94</v>
      </c>
      <c r="E9" s="13">
        <v>2.4</v>
      </c>
      <c r="F9" s="11" t="s">
        <v>3</v>
      </c>
      <c r="G9" s="17">
        <v>45615</v>
      </c>
      <c r="H9" s="11"/>
      <c r="I9" s="11"/>
      <c r="J9" s="11"/>
      <c r="K9" s="11"/>
      <c r="L9" s="11"/>
      <c r="M9" s="11"/>
      <c r="N9" s="11"/>
      <c r="O9" s="11"/>
    </row>
    <row r="10" spans="1:15" x14ac:dyDescent="0.3">
      <c r="A10" s="14">
        <v>45427</v>
      </c>
      <c r="B10" s="11">
        <f>(B9+1)</f>
        <v>9</v>
      </c>
      <c r="C10" s="11">
        <v>1</v>
      </c>
      <c r="D10" s="11">
        <v>102.92</v>
      </c>
      <c r="E10" s="13">
        <v>2.2000000000000002</v>
      </c>
      <c r="F10" s="11" t="s">
        <v>3</v>
      </c>
      <c r="G10" s="17">
        <v>45614</v>
      </c>
      <c r="H10" s="11"/>
      <c r="I10" s="11"/>
      <c r="J10" s="11"/>
      <c r="K10" s="11"/>
      <c r="L10" s="11"/>
      <c r="M10" s="11"/>
      <c r="N10" s="11"/>
      <c r="O10" s="11"/>
    </row>
    <row r="11" spans="1:15" x14ac:dyDescent="0.3">
      <c r="A11" s="14">
        <v>45427</v>
      </c>
      <c r="B11" s="11">
        <f t="shared" ref="B11:B61" si="0">(B10+1)</f>
        <v>10</v>
      </c>
      <c r="C11" s="11">
        <v>1</v>
      </c>
      <c r="D11" s="11">
        <v>111.37</v>
      </c>
      <c r="E11" s="13">
        <v>2.2000000000000002</v>
      </c>
      <c r="F11" s="11" t="s">
        <v>3</v>
      </c>
      <c r="G11" s="16">
        <v>45603</v>
      </c>
      <c r="H11" s="11"/>
      <c r="I11" s="11"/>
      <c r="J11" s="11"/>
      <c r="K11" s="11"/>
      <c r="L11" s="11"/>
      <c r="M11" s="11"/>
      <c r="N11" s="11"/>
      <c r="O11" s="11"/>
    </row>
    <row r="12" spans="1:15" x14ac:dyDescent="0.3">
      <c r="A12" s="14">
        <v>45427</v>
      </c>
      <c r="B12" s="11">
        <f t="shared" si="0"/>
        <v>11</v>
      </c>
      <c r="C12" s="11">
        <v>1</v>
      </c>
      <c r="D12" s="11">
        <v>110.85</v>
      </c>
      <c r="E12" s="13">
        <v>2</v>
      </c>
      <c r="F12" s="11" t="s">
        <v>3</v>
      </c>
      <c r="G12" s="16">
        <v>45603</v>
      </c>
      <c r="H12" s="11"/>
      <c r="I12" s="11"/>
      <c r="J12" s="11"/>
      <c r="K12" s="11"/>
      <c r="L12" s="11"/>
      <c r="M12" s="11"/>
      <c r="N12" s="11"/>
      <c r="O12" s="11"/>
    </row>
    <row r="13" spans="1:15" x14ac:dyDescent="0.3">
      <c r="A13" s="14">
        <v>45427</v>
      </c>
      <c r="B13" s="11">
        <f t="shared" si="0"/>
        <v>12</v>
      </c>
      <c r="C13" s="11">
        <v>1</v>
      </c>
      <c r="D13" s="11">
        <v>119.56</v>
      </c>
      <c r="E13" s="13">
        <v>2</v>
      </c>
      <c r="F13" s="11" t="s">
        <v>3</v>
      </c>
      <c r="G13" s="17">
        <v>45614</v>
      </c>
      <c r="H13" s="11"/>
      <c r="I13" s="11"/>
      <c r="J13" s="11"/>
      <c r="K13" s="11"/>
      <c r="L13" s="11"/>
      <c r="M13" s="11"/>
      <c r="N13" s="11"/>
      <c r="O13" s="11"/>
    </row>
    <row r="14" spans="1:15" x14ac:dyDescent="0.3">
      <c r="A14" s="14">
        <v>45427</v>
      </c>
      <c r="B14" s="11">
        <f t="shared" si="0"/>
        <v>13</v>
      </c>
      <c r="C14" s="11">
        <v>1</v>
      </c>
      <c r="D14" s="11">
        <v>111.9</v>
      </c>
      <c r="E14" s="13">
        <v>2.2000000000000002</v>
      </c>
      <c r="F14" s="11" t="s">
        <v>3</v>
      </c>
      <c r="G14" s="17">
        <v>45614</v>
      </c>
      <c r="H14" s="11"/>
      <c r="I14" s="11"/>
      <c r="J14" s="11"/>
      <c r="K14" s="11"/>
      <c r="L14" s="11"/>
      <c r="M14" s="11"/>
      <c r="N14" s="11"/>
      <c r="O14" s="11"/>
    </row>
    <row r="15" spans="1:15" x14ac:dyDescent="0.3">
      <c r="A15" s="14">
        <v>45427</v>
      </c>
      <c r="B15" s="11">
        <f t="shared" si="0"/>
        <v>14</v>
      </c>
      <c r="C15" s="11">
        <v>1</v>
      </c>
      <c r="D15" s="11">
        <v>117.7</v>
      </c>
      <c r="E15" s="13">
        <v>2.2000000000000002</v>
      </c>
      <c r="F15" s="11" t="s">
        <v>3</v>
      </c>
      <c r="G15" s="16">
        <v>45603</v>
      </c>
      <c r="H15" s="11"/>
      <c r="I15" s="11"/>
      <c r="J15" s="11"/>
      <c r="K15" s="11"/>
      <c r="L15" s="11"/>
      <c r="M15" s="11"/>
      <c r="N15" s="11"/>
      <c r="O15" s="11"/>
    </row>
    <row r="16" spans="1:15" x14ac:dyDescent="0.3">
      <c r="A16" s="14">
        <v>45427</v>
      </c>
      <c r="B16" s="11">
        <f t="shared" si="0"/>
        <v>15</v>
      </c>
      <c r="C16" s="11">
        <v>1</v>
      </c>
      <c r="D16" s="11">
        <v>121.47</v>
      </c>
      <c r="E16" s="13">
        <v>2</v>
      </c>
      <c r="F16" s="11" t="s">
        <v>3</v>
      </c>
      <c r="G16" s="17">
        <v>45614</v>
      </c>
      <c r="H16" s="11"/>
      <c r="I16" s="11"/>
      <c r="J16" s="11"/>
      <c r="K16" s="11"/>
      <c r="L16" s="11"/>
      <c r="M16" s="11"/>
      <c r="N16" s="11"/>
      <c r="O16" s="11"/>
    </row>
    <row r="17" spans="1:15" x14ac:dyDescent="0.3">
      <c r="A17" s="14">
        <v>45427</v>
      </c>
      <c r="B17" s="11">
        <f t="shared" si="0"/>
        <v>16</v>
      </c>
      <c r="C17" s="11">
        <v>1</v>
      </c>
      <c r="D17" s="11">
        <v>100.34</v>
      </c>
      <c r="E17" s="13">
        <v>2.4</v>
      </c>
      <c r="F17" s="11" t="s">
        <v>3</v>
      </c>
      <c r="G17" s="17">
        <v>45615</v>
      </c>
      <c r="H17" s="11"/>
      <c r="I17" s="11"/>
      <c r="J17" s="11"/>
      <c r="K17" s="11"/>
      <c r="L17" s="11"/>
      <c r="M17" s="11"/>
      <c r="N17" s="11"/>
      <c r="O17" s="11"/>
    </row>
    <row r="18" spans="1:15" x14ac:dyDescent="0.3">
      <c r="A18" s="14">
        <v>45427</v>
      </c>
      <c r="B18" s="11">
        <f t="shared" si="0"/>
        <v>17</v>
      </c>
      <c r="C18" s="11">
        <v>1</v>
      </c>
      <c r="D18" s="11">
        <v>108.85</v>
      </c>
      <c r="E18" s="13">
        <v>2.2000000000000002</v>
      </c>
      <c r="F18" s="11" t="s">
        <v>3</v>
      </c>
      <c r="G18" s="16">
        <v>45603</v>
      </c>
      <c r="H18" s="11"/>
      <c r="I18" s="11"/>
      <c r="J18" s="11"/>
      <c r="K18" s="11"/>
      <c r="L18" s="11"/>
      <c r="M18" s="11"/>
      <c r="N18" s="11"/>
      <c r="O18" s="11"/>
    </row>
    <row r="19" spans="1:15" x14ac:dyDescent="0.3">
      <c r="A19" s="14">
        <v>45427</v>
      </c>
      <c r="B19" s="11">
        <f t="shared" si="0"/>
        <v>18</v>
      </c>
      <c r="C19" s="11">
        <v>1</v>
      </c>
      <c r="D19" s="11">
        <v>104.29</v>
      </c>
      <c r="E19" s="13">
        <v>2.2000000000000002</v>
      </c>
      <c r="F19" s="11" t="s">
        <v>3</v>
      </c>
      <c r="G19" s="16">
        <v>45603</v>
      </c>
      <c r="H19" s="11"/>
      <c r="I19" s="11"/>
      <c r="J19" s="11"/>
      <c r="K19" s="11"/>
      <c r="L19" s="11"/>
      <c r="M19" s="11"/>
      <c r="N19" s="11"/>
      <c r="O19" s="11"/>
    </row>
    <row r="20" spans="1:15" x14ac:dyDescent="0.3">
      <c r="A20" s="14">
        <v>45427</v>
      </c>
      <c r="B20" s="11">
        <f t="shared" si="0"/>
        <v>19</v>
      </c>
      <c r="C20" s="11">
        <v>1</v>
      </c>
      <c r="D20" s="11">
        <v>102.46</v>
      </c>
      <c r="E20" s="13">
        <v>2.4</v>
      </c>
      <c r="F20" s="11" t="s">
        <v>3</v>
      </c>
      <c r="G20" s="16">
        <v>45603</v>
      </c>
      <c r="H20" s="11"/>
      <c r="I20" s="11"/>
      <c r="J20" s="11"/>
      <c r="K20" s="11"/>
      <c r="L20" s="11"/>
      <c r="M20" s="11"/>
      <c r="N20" s="11"/>
      <c r="O20" s="11"/>
    </row>
    <row r="21" spans="1:15" x14ac:dyDescent="0.3">
      <c r="A21" s="14">
        <v>45427</v>
      </c>
      <c r="B21" s="11">
        <f t="shared" si="0"/>
        <v>20</v>
      </c>
      <c r="C21" s="11">
        <v>1</v>
      </c>
      <c r="D21" s="11">
        <v>121.72</v>
      </c>
      <c r="E21" s="13">
        <v>2.2000000000000002</v>
      </c>
      <c r="F21" s="11" t="s">
        <v>3</v>
      </c>
      <c r="G21" s="16">
        <v>45603</v>
      </c>
      <c r="H21" s="11"/>
      <c r="I21" s="11"/>
      <c r="J21" s="11"/>
      <c r="K21" s="11"/>
      <c r="L21" s="11"/>
      <c r="M21" s="11"/>
      <c r="N21" s="11"/>
      <c r="O21" s="11"/>
    </row>
    <row r="22" spans="1:15" x14ac:dyDescent="0.3">
      <c r="A22" s="14">
        <v>45427</v>
      </c>
      <c r="B22" s="11">
        <f t="shared" si="0"/>
        <v>21</v>
      </c>
      <c r="C22" s="11">
        <v>1</v>
      </c>
      <c r="D22" s="11">
        <v>107.39</v>
      </c>
      <c r="E22" s="13">
        <v>2.2000000000000002</v>
      </c>
      <c r="F22" s="11" t="s">
        <v>3</v>
      </c>
      <c r="G22" s="17">
        <v>45614</v>
      </c>
      <c r="H22" s="11"/>
      <c r="I22" s="11"/>
      <c r="J22" s="11"/>
      <c r="K22" s="11"/>
      <c r="L22" s="11"/>
      <c r="M22" s="11"/>
      <c r="N22" s="11"/>
      <c r="O22" s="11"/>
    </row>
    <row r="23" spans="1:15" x14ac:dyDescent="0.3">
      <c r="A23" s="14">
        <v>45427</v>
      </c>
      <c r="B23" s="11">
        <f t="shared" si="0"/>
        <v>22</v>
      </c>
      <c r="C23" s="11">
        <v>1</v>
      </c>
      <c r="D23" s="11">
        <v>113.03</v>
      </c>
      <c r="E23" s="13">
        <v>2</v>
      </c>
      <c r="F23" s="11" t="s">
        <v>3</v>
      </c>
      <c r="G23" s="17">
        <v>45615</v>
      </c>
      <c r="H23" s="11"/>
      <c r="I23" s="11"/>
      <c r="J23" s="11"/>
      <c r="K23" s="11"/>
      <c r="L23" s="11"/>
      <c r="M23" s="11"/>
      <c r="N23" s="11"/>
      <c r="O23" s="11"/>
    </row>
    <row r="24" spans="1:15" x14ac:dyDescent="0.3">
      <c r="A24" s="14">
        <v>45427</v>
      </c>
      <c r="B24" s="11">
        <f t="shared" si="0"/>
        <v>23</v>
      </c>
      <c r="C24" s="11">
        <v>3</v>
      </c>
      <c r="D24" s="11">
        <v>113.56</v>
      </c>
      <c r="E24" s="13">
        <v>4.4000000000000004</v>
      </c>
      <c r="F24" s="11" t="s">
        <v>3</v>
      </c>
      <c r="G24" s="16">
        <v>45603</v>
      </c>
      <c r="H24" s="11"/>
      <c r="I24" s="11"/>
      <c r="J24" s="11"/>
      <c r="K24" s="11"/>
      <c r="L24" s="11"/>
      <c r="M24" s="11"/>
      <c r="N24" s="11"/>
      <c r="O24" s="11"/>
    </row>
    <row r="25" spans="1:15" x14ac:dyDescent="0.3">
      <c r="A25" s="14">
        <v>45427</v>
      </c>
      <c r="B25" s="11">
        <f t="shared" si="0"/>
        <v>24</v>
      </c>
      <c r="C25" s="11" t="s">
        <v>2</v>
      </c>
      <c r="D25" s="11">
        <v>117.31</v>
      </c>
      <c r="E25" s="13">
        <v>4.5999999999999996</v>
      </c>
      <c r="F25" s="11" t="s">
        <v>3</v>
      </c>
      <c r="G25" s="17">
        <v>45614</v>
      </c>
      <c r="H25" s="11"/>
      <c r="I25" s="11"/>
      <c r="J25" s="11"/>
      <c r="K25" s="11"/>
      <c r="L25" s="11"/>
      <c r="M25" s="11"/>
      <c r="N25" s="11"/>
      <c r="O25" s="11"/>
    </row>
    <row r="26" spans="1:15" x14ac:dyDescent="0.3">
      <c r="A26" s="14">
        <v>45427</v>
      </c>
      <c r="B26" s="11">
        <f t="shared" si="0"/>
        <v>25</v>
      </c>
      <c r="C26" s="11">
        <v>2</v>
      </c>
      <c r="D26" s="11">
        <v>109.8</v>
      </c>
      <c r="E26" s="13">
        <v>5</v>
      </c>
      <c r="F26" s="11" t="s">
        <v>3</v>
      </c>
      <c r="G26" s="17">
        <v>45614</v>
      </c>
      <c r="H26" s="11"/>
      <c r="I26" s="11"/>
      <c r="J26" s="11"/>
      <c r="K26" s="11"/>
      <c r="L26" s="11"/>
      <c r="M26" s="11"/>
      <c r="N26" s="11"/>
      <c r="O26" s="11"/>
    </row>
    <row r="27" spans="1:15" x14ac:dyDescent="0.3">
      <c r="A27" s="14">
        <v>45427</v>
      </c>
      <c r="B27" s="11">
        <f t="shared" si="0"/>
        <v>26</v>
      </c>
      <c r="C27" s="11">
        <v>3</v>
      </c>
      <c r="D27" s="11">
        <v>91.35</v>
      </c>
      <c r="E27" s="13">
        <v>5.6</v>
      </c>
      <c r="F27" s="11" t="s">
        <v>3</v>
      </c>
      <c r="G27" s="17">
        <v>45614</v>
      </c>
      <c r="H27" s="11"/>
      <c r="I27" s="11"/>
      <c r="J27" s="11"/>
      <c r="K27" s="11"/>
      <c r="L27" s="11"/>
      <c r="M27" s="11"/>
      <c r="N27" s="11"/>
      <c r="O27" s="11"/>
    </row>
    <row r="28" spans="1:15" x14ac:dyDescent="0.3">
      <c r="A28" s="14">
        <v>45427</v>
      </c>
      <c r="B28" s="11">
        <f t="shared" si="0"/>
        <v>27</v>
      </c>
      <c r="C28" s="11">
        <v>4</v>
      </c>
      <c r="D28" s="11">
        <v>96.37</v>
      </c>
      <c r="E28" s="13">
        <v>6.2</v>
      </c>
      <c r="F28" s="11" t="s">
        <v>3</v>
      </c>
      <c r="G28" s="17">
        <v>45610</v>
      </c>
      <c r="H28" s="11"/>
      <c r="I28" s="11"/>
      <c r="J28" s="11"/>
      <c r="K28" s="11"/>
      <c r="L28" s="11"/>
      <c r="M28" s="11"/>
      <c r="N28" s="11"/>
      <c r="O28" s="11"/>
    </row>
    <row r="29" spans="1:15" x14ac:dyDescent="0.3">
      <c r="A29" s="14">
        <v>45427</v>
      </c>
      <c r="B29" s="11">
        <f t="shared" si="0"/>
        <v>28</v>
      </c>
      <c r="C29" s="11">
        <v>3</v>
      </c>
      <c r="D29" s="11">
        <v>109.28</v>
      </c>
      <c r="E29" s="13">
        <v>6.4</v>
      </c>
      <c r="F29" s="11" t="s">
        <v>3</v>
      </c>
      <c r="G29" s="17">
        <v>45614</v>
      </c>
      <c r="H29" s="11"/>
      <c r="I29" s="11"/>
      <c r="J29" s="11"/>
      <c r="K29" s="11"/>
      <c r="L29" s="11"/>
      <c r="M29" s="11"/>
      <c r="N29" s="11"/>
      <c r="O29" s="11"/>
    </row>
    <row r="30" spans="1:15" x14ac:dyDescent="0.3">
      <c r="A30" s="14">
        <v>45427</v>
      </c>
      <c r="B30" s="11">
        <f t="shared" si="0"/>
        <v>29</v>
      </c>
      <c r="C30" s="11">
        <v>3</v>
      </c>
      <c r="D30" s="11">
        <v>110.17</v>
      </c>
      <c r="E30" s="13">
        <v>5.2</v>
      </c>
      <c r="F30" s="11" t="s">
        <v>3</v>
      </c>
      <c r="G30" s="17">
        <v>45615</v>
      </c>
      <c r="H30" s="11"/>
      <c r="I30" s="11"/>
      <c r="J30" s="11"/>
      <c r="K30" s="11"/>
      <c r="L30" s="11"/>
      <c r="M30" s="11"/>
      <c r="N30" s="11"/>
      <c r="O30" s="11"/>
    </row>
    <row r="31" spans="1:15" x14ac:dyDescent="0.3">
      <c r="A31" s="14">
        <v>45427</v>
      </c>
      <c r="B31" s="11">
        <f t="shared" si="0"/>
        <v>30</v>
      </c>
      <c r="C31" s="11">
        <v>2</v>
      </c>
      <c r="D31" s="11">
        <v>100.53</v>
      </c>
      <c r="E31" s="13">
        <v>5</v>
      </c>
      <c r="F31" s="11" t="s">
        <v>3</v>
      </c>
      <c r="G31" s="17">
        <v>45615</v>
      </c>
      <c r="H31" s="11"/>
      <c r="I31" s="11"/>
      <c r="J31" s="11"/>
      <c r="K31" s="11"/>
      <c r="L31" s="11"/>
      <c r="M31" s="11"/>
      <c r="N31" s="11"/>
      <c r="O31" s="11"/>
    </row>
    <row r="32" spans="1:15" x14ac:dyDescent="0.3">
      <c r="A32" s="14">
        <v>45427</v>
      </c>
      <c r="B32" s="11">
        <f>(B31+1)</f>
        <v>31</v>
      </c>
      <c r="C32" s="11">
        <v>3</v>
      </c>
      <c r="D32" s="11">
        <v>105.67</v>
      </c>
      <c r="E32" s="13">
        <v>5</v>
      </c>
      <c r="F32" s="11" t="s">
        <v>3</v>
      </c>
      <c r="G32" s="17">
        <v>45615</v>
      </c>
      <c r="H32" s="11"/>
      <c r="I32" s="11"/>
      <c r="J32" s="11"/>
      <c r="K32" s="11"/>
      <c r="L32" s="11"/>
      <c r="M32" s="11"/>
      <c r="N32" s="11"/>
      <c r="O32" s="11"/>
    </row>
    <row r="33" spans="1:15" x14ac:dyDescent="0.3">
      <c r="A33" s="14">
        <v>45427</v>
      </c>
      <c r="B33" s="11">
        <f t="shared" si="0"/>
        <v>32</v>
      </c>
      <c r="C33" s="11">
        <v>3</v>
      </c>
      <c r="D33" s="11">
        <v>113.67</v>
      </c>
      <c r="E33" s="13">
        <v>4.4000000000000004</v>
      </c>
      <c r="F33" s="11" t="s">
        <v>3</v>
      </c>
      <c r="G33" s="17">
        <v>45615</v>
      </c>
      <c r="H33" s="11"/>
      <c r="I33" s="11"/>
      <c r="J33" s="11"/>
      <c r="K33" s="11"/>
      <c r="L33" s="11"/>
      <c r="M33" s="11"/>
      <c r="N33" s="11"/>
      <c r="O33" s="11"/>
    </row>
    <row r="34" spans="1:15" x14ac:dyDescent="0.3">
      <c r="A34" s="14">
        <v>45427</v>
      </c>
      <c r="B34" s="11">
        <f t="shared" si="0"/>
        <v>33</v>
      </c>
      <c r="C34" s="11">
        <v>3</v>
      </c>
      <c r="D34" s="11">
        <v>108.81</v>
      </c>
      <c r="E34" s="13">
        <v>5.6</v>
      </c>
      <c r="F34" s="11" t="s">
        <v>3</v>
      </c>
      <c r="G34" s="17">
        <v>45615</v>
      </c>
      <c r="H34" s="11"/>
      <c r="I34" s="11"/>
      <c r="J34" s="11"/>
      <c r="K34" s="11"/>
      <c r="L34" s="11"/>
      <c r="M34" s="11"/>
      <c r="N34" s="11"/>
      <c r="O34" s="11"/>
    </row>
    <row r="35" spans="1:15" x14ac:dyDescent="0.3">
      <c r="A35" s="14">
        <v>45427</v>
      </c>
      <c r="B35" s="11">
        <f t="shared" si="0"/>
        <v>34</v>
      </c>
      <c r="C35" s="11">
        <v>3</v>
      </c>
      <c r="D35" s="11">
        <v>103.03</v>
      </c>
      <c r="E35" s="13">
        <v>3.4</v>
      </c>
      <c r="F35" s="11" t="s">
        <v>3</v>
      </c>
      <c r="G35" s="17">
        <v>45614</v>
      </c>
      <c r="H35" s="11"/>
      <c r="I35" s="11"/>
      <c r="J35" s="11"/>
      <c r="K35" s="11"/>
      <c r="L35" s="11"/>
      <c r="M35" s="11"/>
      <c r="N35" s="11"/>
      <c r="O35" s="11"/>
    </row>
    <row r="36" spans="1:15" x14ac:dyDescent="0.3">
      <c r="A36" s="14">
        <v>45427</v>
      </c>
      <c r="B36" s="11">
        <f t="shared" si="0"/>
        <v>35</v>
      </c>
      <c r="C36" s="11">
        <v>3</v>
      </c>
      <c r="D36" s="11">
        <v>117.32</v>
      </c>
      <c r="E36" s="13">
        <v>4.5999999999999996</v>
      </c>
      <c r="F36" s="11" t="s">
        <v>3</v>
      </c>
      <c r="G36" s="17">
        <v>45614</v>
      </c>
      <c r="H36" s="11"/>
      <c r="I36" s="11"/>
      <c r="J36" s="11"/>
      <c r="K36" s="11"/>
      <c r="L36" s="11"/>
      <c r="M36" s="11"/>
      <c r="N36" s="11"/>
      <c r="O36" s="11"/>
    </row>
    <row r="37" spans="1:15" x14ac:dyDescent="0.3">
      <c r="A37" s="14">
        <v>45427</v>
      </c>
      <c r="B37" s="11">
        <f t="shared" si="0"/>
        <v>36</v>
      </c>
      <c r="C37" s="11">
        <v>3</v>
      </c>
      <c r="D37" s="11">
        <v>116.05</v>
      </c>
      <c r="E37" s="13">
        <v>3.8</v>
      </c>
      <c r="F37" s="11" t="s">
        <v>3</v>
      </c>
      <c r="G37" s="17">
        <v>45610</v>
      </c>
      <c r="H37" s="11"/>
      <c r="I37" s="11"/>
      <c r="J37" s="11"/>
      <c r="K37" s="11"/>
      <c r="L37" s="11"/>
      <c r="M37" s="11"/>
      <c r="N37" s="11"/>
      <c r="O37" s="11"/>
    </row>
    <row r="38" spans="1:15" x14ac:dyDescent="0.3">
      <c r="A38" s="14">
        <v>45427</v>
      </c>
      <c r="B38" s="11">
        <f t="shared" si="0"/>
        <v>37</v>
      </c>
      <c r="C38" s="11" t="s">
        <v>2</v>
      </c>
      <c r="D38" s="11">
        <v>114.53</v>
      </c>
      <c r="E38" s="13">
        <v>5.6</v>
      </c>
      <c r="F38" s="11" t="s">
        <v>3</v>
      </c>
      <c r="G38" s="17">
        <v>45614</v>
      </c>
      <c r="H38" s="11"/>
      <c r="I38" s="11"/>
      <c r="J38" s="11"/>
      <c r="K38" s="11"/>
      <c r="L38" s="11"/>
      <c r="M38" s="11"/>
      <c r="N38" s="11"/>
      <c r="O38" s="11"/>
    </row>
    <row r="39" spans="1:15" x14ac:dyDescent="0.3">
      <c r="A39" s="14">
        <v>45427</v>
      </c>
      <c r="B39" s="11">
        <f t="shared" si="0"/>
        <v>38</v>
      </c>
      <c r="C39" s="11">
        <v>3</v>
      </c>
      <c r="D39" s="11">
        <v>111.91</v>
      </c>
      <c r="E39" s="13">
        <v>6</v>
      </c>
      <c r="F39" s="11" t="s">
        <v>3</v>
      </c>
      <c r="G39" s="17">
        <v>45615</v>
      </c>
      <c r="H39" s="11"/>
      <c r="I39" s="11"/>
      <c r="J39" s="11"/>
      <c r="K39" s="11"/>
      <c r="L39" s="11"/>
      <c r="M39" s="11"/>
      <c r="N39" s="11"/>
      <c r="O39" s="11"/>
    </row>
    <row r="40" spans="1:15" x14ac:dyDescent="0.3">
      <c r="A40" s="14">
        <v>45427</v>
      </c>
      <c r="B40" s="11">
        <f t="shared" si="0"/>
        <v>39</v>
      </c>
      <c r="C40" s="11">
        <v>2</v>
      </c>
      <c r="D40" s="11">
        <v>102.66</v>
      </c>
      <c r="E40" s="13">
        <v>5.4</v>
      </c>
      <c r="F40" s="11" t="s">
        <v>3</v>
      </c>
      <c r="G40" s="17">
        <v>45615</v>
      </c>
      <c r="H40" s="11"/>
      <c r="I40" s="11"/>
      <c r="J40" s="11"/>
      <c r="K40" s="11"/>
      <c r="L40" s="11"/>
      <c r="M40" s="11"/>
      <c r="N40" s="11"/>
      <c r="O40" s="11"/>
    </row>
    <row r="41" spans="1:15" x14ac:dyDescent="0.3">
      <c r="A41" s="14">
        <v>45427</v>
      </c>
      <c r="B41" s="11">
        <f t="shared" si="0"/>
        <v>40</v>
      </c>
      <c r="C41" s="11">
        <v>3</v>
      </c>
      <c r="D41" s="11">
        <v>111.81</v>
      </c>
      <c r="E41" s="13">
        <v>4.8</v>
      </c>
      <c r="F41" s="11" t="s">
        <v>3</v>
      </c>
      <c r="G41" s="17">
        <v>45615</v>
      </c>
      <c r="H41" s="11"/>
      <c r="I41" s="11"/>
      <c r="J41" s="11"/>
      <c r="K41" s="11"/>
      <c r="L41" s="11"/>
      <c r="M41" s="11"/>
      <c r="N41" s="11"/>
      <c r="O41" s="11"/>
    </row>
    <row r="42" spans="1:15" x14ac:dyDescent="0.3">
      <c r="A42" s="14">
        <v>45427</v>
      </c>
      <c r="B42" s="11">
        <f t="shared" si="0"/>
        <v>41</v>
      </c>
      <c r="C42" s="11">
        <v>2</v>
      </c>
      <c r="D42" s="11">
        <v>105.48</v>
      </c>
      <c r="E42" s="13">
        <v>5.6</v>
      </c>
      <c r="F42" s="11" t="s">
        <v>3</v>
      </c>
      <c r="G42" s="17">
        <v>45615</v>
      </c>
      <c r="H42" s="11"/>
      <c r="I42" s="11"/>
      <c r="J42" s="11"/>
      <c r="K42" s="11"/>
      <c r="L42" s="11"/>
      <c r="M42" s="11"/>
      <c r="N42" s="11"/>
      <c r="O42" s="11"/>
    </row>
    <row r="43" spans="1:15" x14ac:dyDescent="0.3">
      <c r="A43" s="14">
        <v>45427</v>
      </c>
      <c r="B43" s="11">
        <f t="shared" si="0"/>
        <v>42</v>
      </c>
      <c r="C43" s="11">
        <v>2</v>
      </c>
      <c r="D43" s="11">
        <v>99.28</v>
      </c>
      <c r="E43" s="13">
        <v>4.8</v>
      </c>
      <c r="F43" s="11" t="s">
        <v>3</v>
      </c>
      <c r="G43" s="17">
        <v>45615</v>
      </c>
      <c r="H43" s="11"/>
      <c r="I43" s="11"/>
      <c r="J43" s="11"/>
      <c r="K43" s="11"/>
      <c r="L43" s="11"/>
      <c r="M43" s="11"/>
      <c r="N43" s="11"/>
      <c r="O43" s="11"/>
    </row>
    <row r="44" spans="1:15" x14ac:dyDescent="0.3">
      <c r="A44" s="14">
        <v>45427</v>
      </c>
      <c r="B44" s="11">
        <f t="shared" si="0"/>
        <v>43</v>
      </c>
      <c r="C44" s="11">
        <v>3</v>
      </c>
      <c r="D44" s="11">
        <v>99.83</v>
      </c>
      <c r="E44" s="13">
        <v>5</v>
      </c>
      <c r="F44" s="11" t="s">
        <v>3</v>
      </c>
      <c r="G44" s="16">
        <v>45603</v>
      </c>
      <c r="H44" s="11"/>
      <c r="I44" s="11"/>
      <c r="J44" s="11"/>
      <c r="K44" s="11"/>
      <c r="L44" s="11"/>
      <c r="M44" s="11"/>
      <c r="N44" s="11"/>
      <c r="O44" s="11"/>
    </row>
    <row r="45" spans="1:15" x14ac:dyDescent="0.3">
      <c r="A45" s="14">
        <v>45427</v>
      </c>
      <c r="B45" s="11">
        <f t="shared" si="0"/>
        <v>44</v>
      </c>
      <c r="C45" s="11">
        <v>3</v>
      </c>
      <c r="D45" s="11">
        <v>105.23</v>
      </c>
      <c r="E45" s="13">
        <v>5</v>
      </c>
      <c r="F45" s="11" t="s">
        <v>3</v>
      </c>
      <c r="G45" s="16">
        <v>45603</v>
      </c>
      <c r="H45" s="11"/>
      <c r="I45" s="11"/>
      <c r="J45" s="11"/>
      <c r="K45" s="11"/>
      <c r="L45" s="11"/>
      <c r="M45" s="11"/>
      <c r="N45" s="11"/>
      <c r="O45" s="11"/>
    </row>
    <row r="46" spans="1:15" x14ac:dyDescent="0.3">
      <c r="A46" s="14">
        <v>45427</v>
      </c>
      <c r="B46" s="11">
        <f t="shared" si="0"/>
        <v>45</v>
      </c>
      <c r="C46" s="11">
        <v>3</v>
      </c>
      <c r="D46" s="11">
        <v>100.44</v>
      </c>
      <c r="E46" s="13">
        <v>5.8</v>
      </c>
      <c r="F46" s="11" t="s">
        <v>3</v>
      </c>
      <c r="G46" s="17">
        <v>45610</v>
      </c>
      <c r="H46" s="11"/>
      <c r="I46" s="11"/>
      <c r="J46" s="11"/>
      <c r="K46" s="11"/>
      <c r="L46" s="11"/>
      <c r="M46" s="11"/>
      <c r="N46" s="11"/>
      <c r="O46" s="11"/>
    </row>
    <row r="47" spans="1:15" x14ac:dyDescent="0.3">
      <c r="A47" s="14">
        <v>45427</v>
      </c>
      <c r="B47" s="11">
        <f t="shared" si="0"/>
        <v>46</v>
      </c>
      <c r="C47" s="11">
        <v>3</v>
      </c>
      <c r="D47" s="11">
        <v>113.81</v>
      </c>
      <c r="E47" s="13">
        <v>4</v>
      </c>
      <c r="F47" s="11" t="s">
        <v>3</v>
      </c>
      <c r="G47" s="16">
        <v>45603</v>
      </c>
      <c r="H47" s="11"/>
      <c r="I47" s="11"/>
      <c r="J47" s="11"/>
      <c r="K47" s="11"/>
      <c r="L47" s="11"/>
      <c r="M47" s="11"/>
      <c r="N47" s="11"/>
      <c r="O47" s="11"/>
    </row>
    <row r="48" spans="1:15" x14ac:dyDescent="0.3">
      <c r="A48" s="14">
        <v>45427</v>
      </c>
      <c r="B48" s="11">
        <f t="shared" si="0"/>
        <v>47</v>
      </c>
      <c r="C48" s="11">
        <v>3</v>
      </c>
      <c r="D48" s="11">
        <v>123.66</v>
      </c>
      <c r="E48" s="13">
        <v>5</v>
      </c>
      <c r="F48" s="11" t="s">
        <v>3</v>
      </c>
      <c r="G48" s="17">
        <v>45615</v>
      </c>
      <c r="H48" s="11"/>
      <c r="I48" s="11"/>
      <c r="J48" s="11"/>
      <c r="K48" s="11"/>
      <c r="L48" s="11"/>
      <c r="M48" s="11"/>
      <c r="N48" s="11"/>
      <c r="O48" s="11"/>
    </row>
    <row r="49" spans="1:15" x14ac:dyDescent="0.3">
      <c r="A49" s="14">
        <v>45427</v>
      </c>
      <c r="B49" s="11">
        <f t="shared" si="0"/>
        <v>48</v>
      </c>
      <c r="C49" s="11">
        <v>3</v>
      </c>
      <c r="D49" s="11">
        <v>106.45</v>
      </c>
      <c r="E49" s="13">
        <v>5.8</v>
      </c>
      <c r="F49" s="11" t="s">
        <v>3</v>
      </c>
      <c r="G49" s="17">
        <v>45610</v>
      </c>
      <c r="H49" s="11"/>
      <c r="I49" s="11"/>
      <c r="J49" s="11"/>
      <c r="K49" s="11"/>
      <c r="L49" s="11"/>
      <c r="M49" s="11"/>
      <c r="N49" s="11"/>
      <c r="O49" s="11"/>
    </row>
    <row r="50" spans="1:15" x14ac:dyDescent="0.3">
      <c r="A50" s="14">
        <v>45427</v>
      </c>
      <c r="B50" s="11">
        <f t="shared" si="0"/>
        <v>49</v>
      </c>
      <c r="C50" s="11" t="s">
        <v>2</v>
      </c>
      <c r="D50" s="11">
        <v>95.34</v>
      </c>
      <c r="E50" s="13">
        <v>2.6</v>
      </c>
      <c r="F50" s="11" t="s">
        <v>3</v>
      </c>
      <c r="G50" s="17">
        <v>45610</v>
      </c>
      <c r="H50" s="11"/>
      <c r="I50" s="11"/>
      <c r="J50" s="11"/>
      <c r="K50" s="11"/>
      <c r="L50" s="11"/>
      <c r="M50" s="11"/>
      <c r="N50" s="11"/>
      <c r="O50" s="11"/>
    </row>
    <row r="51" spans="1:15" x14ac:dyDescent="0.3">
      <c r="A51" s="14">
        <v>45427</v>
      </c>
      <c r="B51" s="11">
        <f t="shared" si="0"/>
        <v>50</v>
      </c>
      <c r="C51" s="11" t="s">
        <v>2</v>
      </c>
      <c r="D51" s="11">
        <v>105.57</v>
      </c>
      <c r="E51" s="13">
        <v>5</v>
      </c>
      <c r="F51" s="11" t="s">
        <v>3</v>
      </c>
      <c r="G51" s="17">
        <v>45610</v>
      </c>
      <c r="H51" s="11"/>
      <c r="I51" s="11"/>
      <c r="J51" s="11"/>
      <c r="K51" s="11"/>
      <c r="L51" s="11"/>
      <c r="M51" s="11"/>
      <c r="N51" s="11"/>
      <c r="O51" s="11"/>
    </row>
    <row r="52" spans="1:15" x14ac:dyDescent="0.3">
      <c r="A52" s="14">
        <v>45427</v>
      </c>
      <c r="B52" s="11">
        <f t="shared" si="0"/>
        <v>51</v>
      </c>
      <c r="C52" s="11" t="s">
        <v>2</v>
      </c>
      <c r="D52" s="11">
        <v>101.14</v>
      </c>
      <c r="E52" s="13">
        <v>5</v>
      </c>
      <c r="F52" s="11" t="s">
        <v>3</v>
      </c>
      <c r="G52" s="17">
        <v>45610</v>
      </c>
      <c r="H52" s="11"/>
      <c r="I52" s="11"/>
      <c r="J52" s="11"/>
      <c r="K52" s="11"/>
      <c r="L52" s="11"/>
      <c r="M52" s="11"/>
      <c r="N52" s="11"/>
      <c r="O52" s="11"/>
    </row>
    <row r="53" spans="1:15" x14ac:dyDescent="0.3">
      <c r="A53" s="14">
        <v>45427</v>
      </c>
      <c r="B53" s="11">
        <f t="shared" si="0"/>
        <v>52</v>
      </c>
      <c r="C53" s="11" t="s">
        <v>2</v>
      </c>
      <c r="D53" s="11">
        <v>121.05</v>
      </c>
      <c r="E53" s="13">
        <v>4</v>
      </c>
      <c r="F53" s="11" t="s">
        <v>3</v>
      </c>
      <c r="G53" s="17">
        <v>45610</v>
      </c>
      <c r="H53" s="11"/>
      <c r="I53" s="11"/>
      <c r="J53" s="11"/>
      <c r="K53" s="11"/>
      <c r="L53" s="11"/>
      <c r="M53" s="11"/>
      <c r="N53" s="11"/>
      <c r="O53" s="11"/>
    </row>
    <row r="54" spans="1:15" x14ac:dyDescent="0.3">
      <c r="A54" s="14">
        <v>45427</v>
      </c>
      <c r="B54" s="11">
        <f t="shared" si="0"/>
        <v>53</v>
      </c>
      <c r="C54" s="11">
        <v>3</v>
      </c>
      <c r="D54" s="11">
        <v>101.29</v>
      </c>
      <c r="E54" s="13">
        <v>4.8</v>
      </c>
      <c r="F54" s="11" t="s">
        <v>3</v>
      </c>
      <c r="G54" s="17">
        <v>45610</v>
      </c>
      <c r="H54" s="11"/>
      <c r="I54" s="11"/>
      <c r="J54" s="11"/>
      <c r="K54" s="11"/>
      <c r="L54" s="11"/>
      <c r="M54" s="11"/>
      <c r="N54" s="11"/>
      <c r="O54" s="11"/>
    </row>
    <row r="55" spans="1:15" x14ac:dyDescent="0.3">
      <c r="A55" s="14">
        <v>45427</v>
      </c>
      <c r="B55" s="11">
        <f t="shared" si="0"/>
        <v>54</v>
      </c>
      <c r="C55" s="11">
        <v>3</v>
      </c>
      <c r="D55" s="11">
        <v>104.22</v>
      </c>
      <c r="E55" s="13">
        <v>5</v>
      </c>
      <c r="F55" s="11" t="s">
        <v>3</v>
      </c>
      <c r="G55" s="17">
        <v>45610</v>
      </c>
      <c r="H55" s="11"/>
      <c r="I55" s="11"/>
      <c r="J55" s="11"/>
      <c r="K55" s="11"/>
      <c r="L55" s="11"/>
      <c r="M55" s="11"/>
      <c r="N55" s="11"/>
      <c r="O55" s="11"/>
    </row>
    <row r="56" spans="1:15" x14ac:dyDescent="0.3">
      <c r="A56" s="14">
        <v>45427</v>
      </c>
      <c r="B56" s="11">
        <f t="shared" si="0"/>
        <v>55</v>
      </c>
      <c r="C56" s="11">
        <v>3</v>
      </c>
      <c r="D56" s="11">
        <v>111.91</v>
      </c>
      <c r="E56" s="13">
        <v>4.4000000000000004</v>
      </c>
      <c r="F56" s="11" t="s">
        <v>3</v>
      </c>
      <c r="G56" s="17">
        <v>45610</v>
      </c>
      <c r="H56" s="11"/>
      <c r="I56" s="11"/>
      <c r="J56" s="11"/>
      <c r="K56" s="11"/>
      <c r="L56" s="11"/>
      <c r="M56" s="11"/>
      <c r="N56" s="11"/>
      <c r="O56" s="11"/>
    </row>
    <row r="57" spans="1:15" x14ac:dyDescent="0.3">
      <c r="A57" s="14">
        <v>45427</v>
      </c>
      <c r="B57" s="11">
        <f t="shared" si="0"/>
        <v>56</v>
      </c>
      <c r="C57" s="11">
        <v>3</v>
      </c>
      <c r="D57" s="11">
        <v>115.16</v>
      </c>
      <c r="E57" s="13">
        <v>4.8</v>
      </c>
      <c r="F57" s="11" t="s">
        <v>3</v>
      </c>
      <c r="G57" s="17">
        <v>45610</v>
      </c>
      <c r="H57" s="11"/>
      <c r="I57" s="11"/>
      <c r="J57" s="11"/>
      <c r="K57" s="11"/>
      <c r="L57" s="11"/>
      <c r="M57" s="11"/>
      <c r="N57" s="11"/>
      <c r="O57" s="11"/>
    </row>
    <row r="58" spans="1:15" x14ac:dyDescent="0.3">
      <c r="A58" s="14">
        <v>45427</v>
      </c>
      <c r="B58" s="11">
        <f t="shared" si="0"/>
        <v>57</v>
      </c>
      <c r="C58" s="11">
        <v>3</v>
      </c>
      <c r="D58" s="11">
        <v>103.1</v>
      </c>
      <c r="E58" s="13">
        <v>5.6</v>
      </c>
      <c r="F58" s="11" t="s">
        <v>3</v>
      </c>
      <c r="G58" s="17">
        <v>45610</v>
      </c>
      <c r="H58" s="11"/>
      <c r="I58" s="11"/>
      <c r="J58" s="11"/>
      <c r="K58" s="11"/>
      <c r="L58" s="11"/>
      <c r="M58" s="11"/>
      <c r="N58" s="11"/>
      <c r="O58" s="11"/>
    </row>
    <row r="59" spans="1:15" x14ac:dyDescent="0.3">
      <c r="A59" s="14">
        <v>45427</v>
      </c>
      <c r="B59" s="11">
        <f t="shared" si="0"/>
        <v>58</v>
      </c>
      <c r="C59" s="11">
        <v>3</v>
      </c>
      <c r="D59" s="11">
        <v>108.5</v>
      </c>
      <c r="E59" s="13">
        <v>4.5999999999999996</v>
      </c>
      <c r="F59" s="11" t="s">
        <v>3</v>
      </c>
      <c r="G59" s="17">
        <v>45610</v>
      </c>
      <c r="H59" s="11"/>
      <c r="I59" s="11"/>
      <c r="J59" s="11"/>
      <c r="K59" s="11"/>
      <c r="L59" s="11"/>
      <c r="M59" s="11"/>
      <c r="N59" s="11"/>
      <c r="O59" s="11"/>
    </row>
    <row r="60" spans="1:15" x14ac:dyDescent="0.3">
      <c r="A60" s="14">
        <v>45427</v>
      </c>
      <c r="B60" s="11">
        <f t="shared" si="0"/>
        <v>59</v>
      </c>
      <c r="C60" s="11">
        <v>3</v>
      </c>
      <c r="D60" s="11">
        <v>99.71</v>
      </c>
      <c r="E60" s="13">
        <v>5.6</v>
      </c>
      <c r="F60" s="11" t="s">
        <v>3</v>
      </c>
      <c r="G60" s="17">
        <v>45610</v>
      </c>
      <c r="H60" s="11"/>
      <c r="I60" s="11"/>
      <c r="J60" s="11"/>
      <c r="K60" s="11"/>
      <c r="L60" s="11"/>
      <c r="M60" s="11"/>
      <c r="N60" s="11"/>
      <c r="O60" s="11"/>
    </row>
    <row r="61" spans="1:15" x14ac:dyDescent="0.3">
      <c r="A61" s="14">
        <v>45427</v>
      </c>
      <c r="B61" s="11">
        <f t="shared" si="0"/>
        <v>60</v>
      </c>
      <c r="C61" s="11">
        <v>3</v>
      </c>
      <c r="D61" s="11">
        <v>101.66</v>
      </c>
      <c r="E61" s="13">
        <v>5.6</v>
      </c>
      <c r="F61" s="11" t="s">
        <v>3</v>
      </c>
      <c r="G61" s="17">
        <v>45610</v>
      </c>
      <c r="H61" s="11"/>
      <c r="I61" s="11"/>
      <c r="J61" s="11"/>
      <c r="K61" s="11"/>
      <c r="L61" s="11"/>
      <c r="M61" s="11"/>
      <c r="N61" s="11"/>
      <c r="O61" s="11"/>
    </row>
    <row r="62" spans="1:15" x14ac:dyDescent="0.3">
      <c r="A62" s="8"/>
      <c r="E62" s="7"/>
    </row>
    <row r="63" spans="1:15" x14ac:dyDescent="0.3">
      <c r="A63" s="8"/>
      <c r="E63" s="7"/>
    </row>
    <row r="64" spans="1:15" x14ac:dyDescent="0.3">
      <c r="A64" s="8"/>
      <c r="E64" s="7"/>
    </row>
    <row r="65" spans="1:5" x14ac:dyDescent="0.3">
      <c r="A65" s="8"/>
      <c r="E65" s="7"/>
    </row>
    <row r="66" spans="1:5" x14ac:dyDescent="0.3">
      <c r="A66" s="8"/>
      <c r="E66" s="7"/>
    </row>
    <row r="67" spans="1:5" x14ac:dyDescent="0.3">
      <c r="A67" s="8"/>
      <c r="E67" s="7"/>
    </row>
    <row r="68" spans="1:5" x14ac:dyDescent="0.3">
      <c r="A68" s="8"/>
      <c r="E68" s="7"/>
    </row>
    <row r="69" spans="1:5" x14ac:dyDescent="0.3">
      <c r="A69" s="8"/>
      <c r="E69" s="7"/>
    </row>
    <row r="70" spans="1:5" x14ac:dyDescent="0.3">
      <c r="A70" s="8"/>
      <c r="E70" s="7"/>
    </row>
    <row r="71" spans="1:5" x14ac:dyDescent="0.3">
      <c r="A71" s="8"/>
      <c r="E71" s="7"/>
    </row>
    <row r="72" spans="1:5" x14ac:dyDescent="0.3">
      <c r="A72" s="8"/>
      <c r="E72" s="7"/>
    </row>
    <row r="73" spans="1:5" x14ac:dyDescent="0.3">
      <c r="A73" s="8"/>
      <c r="E73" s="7"/>
    </row>
    <row r="74" spans="1:5" x14ac:dyDescent="0.3">
      <c r="A74" s="8"/>
      <c r="E74" s="7"/>
    </row>
    <row r="75" spans="1:5" x14ac:dyDescent="0.3">
      <c r="A75" s="8"/>
      <c r="E75" s="7"/>
    </row>
    <row r="76" spans="1:5" x14ac:dyDescent="0.3">
      <c r="A76" s="8"/>
      <c r="E76" s="7"/>
    </row>
    <row r="77" spans="1:5" x14ac:dyDescent="0.3">
      <c r="A77" s="8"/>
      <c r="E77" s="7"/>
    </row>
    <row r="78" spans="1:5" x14ac:dyDescent="0.3">
      <c r="A78" s="8"/>
      <c r="E78" s="7"/>
    </row>
    <row r="79" spans="1:5" x14ac:dyDescent="0.3">
      <c r="E79" s="7"/>
    </row>
  </sheetData>
  <pageMargins left="0.25" right="0.25" top="0.75" bottom="0.75" header="0.3" footer="0.3"/>
  <pageSetup paperSize="5" orientation="landscape" r:id="rId1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DE96-AFA9-4A1E-A275-F01540326663}">
  <dimension ref="A1:V70"/>
  <sheetViews>
    <sheetView topLeftCell="A28" workbookViewId="0">
      <selection activeCell="B2" sqref="B2:B61"/>
    </sheetView>
  </sheetViews>
  <sheetFormatPr defaultColWidth="8.6640625" defaultRowHeight="14.4" x14ac:dyDescent="0.3"/>
  <cols>
    <col min="5" max="5" width="8.5546875" bestFit="1" customWidth="1"/>
    <col min="6" max="6" width="15.109375" customWidth="1"/>
    <col min="7" max="7" width="12.6640625" bestFit="1" customWidth="1"/>
    <col min="8" max="8" width="11.109375" customWidth="1"/>
    <col min="9" max="9" width="9.88671875" customWidth="1"/>
    <col min="10" max="10" width="11.88671875" style="47" customWidth="1"/>
    <col min="11" max="11" width="11.88671875" style="40" customWidth="1"/>
    <col min="13" max="14" width="11.44140625" customWidth="1"/>
    <col min="15" max="15" width="12" style="47" customWidth="1"/>
    <col min="16" max="16" width="12" style="40" customWidth="1"/>
    <col min="17" max="20" width="10.109375" customWidth="1"/>
    <col min="21" max="21" width="17.5546875" customWidth="1"/>
  </cols>
  <sheetData>
    <row r="1" spans="1:22" ht="57.6" x14ac:dyDescent="0.3">
      <c r="A1" s="18" t="s">
        <v>80</v>
      </c>
      <c r="B1" s="18" t="s">
        <v>81</v>
      </c>
      <c r="C1" s="18" t="s">
        <v>82</v>
      </c>
      <c r="D1" s="18" t="s">
        <v>83</v>
      </c>
      <c r="E1" s="18" t="s">
        <v>25</v>
      </c>
      <c r="F1" s="19" t="s">
        <v>89</v>
      </c>
      <c r="G1" s="19" t="s">
        <v>104</v>
      </c>
      <c r="H1" s="19" t="s">
        <v>103</v>
      </c>
      <c r="I1" s="19" t="s">
        <v>105</v>
      </c>
      <c r="J1" s="43" t="s">
        <v>91</v>
      </c>
      <c r="K1" s="38" t="s">
        <v>92</v>
      </c>
      <c r="L1" s="19" t="s">
        <v>84</v>
      </c>
      <c r="M1" s="19" t="s">
        <v>85</v>
      </c>
      <c r="N1" s="19" t="s">
        <v>86</v>
      </c>
      <c r="O1" s="43" t="s">
        <v>93</v>
      </c>
      <c r="P1" s="38" t="s">
        <v>94</v>
      </c>
      <c r="Q1" s="19" t="s">
        <v>87</v>
      </c>
      <c r="R1" s="19" t="s">
        <v>88</v>
      </c>
      <c r="S1" s="19" t="s">
        <v>90</v>
      </c>
      <c r="T1" s="19" t="s">
        <v>95</v>
      </c>
      <c r="U1" s="20" t="s">
        <v>66</v>
      </c>
    </row>
    <row r="2" spans="1:22" x14ac:dyDescent="0.3">
      <c r="A2" s="14">
        <v>45427</v>
      </c>
      <c r="B2" s="11">
        <v>1</v>
      </c>
      <c r="C2" s="11">
        <v>1</v>
      </c>
      <c r="D2" s="11">
        <v>104.74</v>
      </c>
      <c r="E2" s="12">
        <v>2</v>
      </c>
      <c r="F2" s="16">
        <v>45603</v>
      </c>
      <c r="G2" s="24">
        <v>96.86</v>
      </c>
      <c r="H2" s="24">
        <v>19.920000000000002</v>
      </c>
      <c r="I2" s="27">
        <v>13.693</v>
      </c>
      <c r="J2" s="44">
        <v>10.1332</v>
      </c>
      <c r="K2" s="39">
        <f>J2-S2</f>
        <v>9.1250999999999998</v>
      </c>
      <c r="L2" s="27">
        <v>3.4239999999999999</v>
      </c>
      <c r="M2" s="25">
        <v>45608</v>
      </c>
      <c r="N2" s="24">
        <v>1.4202999999999999</v>
      </c>
      <c r="O2" s="44">
        <v>2.1261999999999999</v>
      </c>
      <c r="P2" s="39">
        <f>O2-S2</f>
        <v>1.1180999999999999</v>
      </c>
      <c r="Q2" s="24">
        <v>95.84</v>
      </c>
      <c r="R2" s="24">
        <v>17.38</v>
      </c>
      <c r="S2" s="24">
        <v>1.0081</v>
      </c>
      <c r="T2" s="24">
        <f>K2-P2</f>
        <v>8.0069999999999997</v>
      </c>
      <c r="U2" s="24"/>
    </row>
    <row r="3" spans="1:22" x14ac:dyDescent="0.3">
      <c r="A3" s="14">
        <v>45427</v>
      </c>
      <c r="B3" s="11">
        <v>2</v>
      </c>
      <c r="C3" s="11">
        <v>1</v>
      </c>
      <c r="D3" s="11">
        <v>105.98</v>
      </c>
      <c r="E3" s="13">
        <v>2.2000000000000002</v>
      </c>
      <c r="F3" s="16">
        <v>45603</v>
      </c>
      <c r="G3" s="24">
        <v>91.12</v>
      </c>
      <c r="H3" s="28">
        <v>18.100000000000001</v>
      </c>
      <c r="I3" s="27">
        <v>9.6698000000000004</v>
      </c>
      <c r="J3" s="44">
        <v>7.2027999999999999</v>
      </c>
      <c r="K3" s="39">
        <f>J3-S3</f>
        <v>6.1989000000000001</v>
      </c>
      <c r="L3" s="24">
        <v>2.6686000000000001</v>
      </c>
      <c r="M3" s="25">
        <v>45608</v>
      </c>
      <c r="N3" s="24">
        <v>0.95569999999999999</v>
      </c>
      <c r="O3" s="44">
        <v>1.7636000000000001</v>
      </c>
      <c r="P3" s="39">
        <f>O3-S3</f>
        <v>0.75970000000000004</v>
      </c>
      <c r="Q3" s="24">
        <v>89.72</v>
      </c>
      <c r="R3" s="24">
        <v>13.43</v>
      </c>
      <c r="S3" s="24">
        <v>1.0039</v>
      </c>
      <c r="T3" s="24">
        <f t="shared" ref="T3:T61" si="0">K3-P3</f>
        <v>5.4391999999999996</v>
      </c>
      <c r="U3" s="24"/>
    </row>
    <row r="4" spans="1:22" x14ac:dyDescent="0.3">
      <c r="A4" s="14">
        <v>45427</v>
      </c>
      <c r="B4" s="11">
        <v>3</v>
      </c>
      <c r="C4" s="11">
        <v>1</v>
      </c>
      <c r="D4" s="11">
        <v>116.3</v>
      </c>
      <c r="E4" s="13">
        <v>2.2000000000000002</v>
      </c>
      <c r="F4" s="16">
        <v>45603</v>
      </c>
      <c r="G4" s="24">
        <v>107.02</v>
      </c>
      <c r="H4" s="28">
        <v>22.3</v>
      </c>
      <c r="I4" s="27">
        <v>10.8643</v>
      </c>
      <c r="J4" s="44">
        <v>7.8509000000000002</v>
      </c>
      <c r="K4" s="39">
        <f>J4-S4</f>
        <v>6.7871000000000006</v>
      </c>
      <c r="L4" s="24">
        <v>3.8460999999999999</v>
      </c>
      <c r="M4" s="25">
        <v>45608</v>
      </c>
      <c r="N4" s="24">
        <v>1.5923</v>
      </c>
      <c r="O4" s="44">
        <v>2.3433000000000002</v>
      </c>
      <c r="P4" s="39">
        <f t="shared" ref="P4:P61" si="1">O4-S4</f>
        <v>1.2795000000000001</v>
      </c>
      <c r="Q4" s="24">
        <v>105.33</v>
      </c>
      <c r="R4" s="24">
        <v>23.43</v>
      </c>
      <c r="S4" s="24">
        <v>1.0638000000000001</v>
      </c>
      <c r="T4" s="24">
        <f t="shared" si="0"/>
        <v>5.5076000000000001</v>
      </c>
      <c r="U4" s="24"/>
    </row>
    <row r="5" spans="1:22" x14ac:dyDescent="0.3">
      <c r="A5" s="14">
        <v>45427</v>
      </c>
      <c r="B5" s="11">
        <v>4</v>
      </c>
      <c r="C5" s="11">
        <v>1</v>
      </c>
      <c r="D5" s="11">
        <v>116.86</v>
      </c>
      <c r="E5" s="13">
        <v>2</v>
      </c>
      <c r="F5" s="16">
        <v>45603</v>
      </c>
      <c r="G5" s="28">
        <v>105.6</v>
      </c>
      <c r="H5" s="24">
        <v>26.61</v>
      </c>
      <c r="I5" s="24">
        <v>10.7888</v>
      </c>
      <c r="J5" s="44">
        <v>8.1285000000000007</v>
      </c>
      <c r="K5" s="39">
        <f t="shared" ref="K5:K61" si="2">J5-S5</f>
        <v>7.1176000000000013</v>
      </c>
      <c r="L5" s="24">
        <v>3.5768</v>
      </c>
      <c r="M5" s="25">
        <v>45608</v>
      </c>
      <c r="N5" s="24">
        <v>1.7063999999999999</v>
      </c>
      <c r="O5" s="44">
        <v>2.4302000000000001</v>
      </c>
      <c r="P5" s="39">
        <f t="shared" si="1"/>
        <v>1.4193000000000002</v>
      </c>
      <c r="Q5" s="24">
        <v>104.68</v>
      </c>
      <c r="R5" s="24">
        <v>26.37</v>
      </c>
      <c r="S5" s="24">
        <v>1.0108999999999999</v>
      </c>
      <c r="T5" s="24">
        <f t="shared" si="0"/>
        <v>5.6983000000000015</v>
      </c>
      <c r="U5" s="24"/>
    </row>
    <row r="6" spans="1:22" x14ac:dyDescent="0.3">
      <c r="A6" s="14">
        <v>45427</v>
      </c>
      <c r="B6" s="11">
        <v>5</v>
      </c>
      <c r="C6" s="11">
        <v>2</v>
      </c>
      <c r="D6" s="11">
        <v>93.71</v>
      </c>
      <c r="E6" s="13">
        <v>4</v>
      </c>
      <c r="F6" s="16">
        <v>45603</v>
      </c>
      <c r="G6" s="28">
        <v>85.08</v>
      </c>
      <c r="H6" s="24">
        <v>17.28</v>
      </c>
      <c r="I6" s="24">
        <v>9.5710999999999995</v>
      </c>
      <c r="J6" s="44">
        <v>7.2862999999999998</v>
      </c>
      <c r="K6" s="39">
        <f t="shared" si="2"/>
        <v>6.2756999999999996</v>
      </c>
      <c r="L6" s="24">
        <v>3.1467999999999998</v>
      </c>
      <c r="M6" s="25">
        <v>45608</v>
      </c>
      <c r="N6" s="27">
        <v>1.52</v>
      </c>
      <c r="O6" s="44">
        <v>2.1671999999999998</v>
      </c>
      <c r="P6" s="39">
        <f t="shared" si="1"/>
        <v>1.1565999999999999</v>
      </c>
      <c r="Q6" s="24">
        <v>84.58</v>
      </c>
      <c r="R6" s="28">
        <v>18.899999999999999</v>
      </c>
      <c r="S6" s="27">
        <v>1.0105999999999999</v>
      </c>
      <c r="T6" s="24">
        <f t="shared" si="0"/>
        <v>5.1190999999999995</v>
      </c>
      <c r="U6" s="24"/>
    </row>
    <row r="7" spans="1:22" x14ac:dyDescent="0.3">
      <c r="A7" s="14">
        <v>45427</v>
      </c>
      <c r="B7" s="11">
        <v>6</v>
      </c>
      <c r="C7" s="11">
        <v>1</v>
      </c>
      <c r="D7" s="11">
        <v>105.11</v>
      </c>
      <c r="E7" s="13">
        <v>2.2000000000000002</v>
      </c>
      <c r="F7" s="16">
        <v>45603</v>
      </c>
      <c r="G7" s="24">
        <v>99.79</v>
      </c>
      <c r="H7" s="24">
        <v>19.45</v>
      </c>
      <c r="I7" s="24">
        <v>11.8468</v>
      </c>
      <c r="J7" s="45">
        <v>8.0731000000000002</v>
      </c>
      <c r="K7" s="39">
        <f t="shared" si="2"/>
        <v>7.0415999999999999</v>
      </c>
      <c r="L7" s="27">
        <v>3.53</v>
      </c>
      <c r="M7" s="25">
        <v>45608</v>
      </c>
      <c r="N7" s="24">
        <v>1.3213999999999999</v>
      </c>
      <c r="O7" s="44">
        <v>1.9741</v>
      </c>
      <c r="P7" s="39">
        <f t="shared" si="1"/>
        <v>0.94259999999999988</v>
      </c>
      <c r="Q7" s="28">
        <v>99.29</v>
      </c>
      <c r="R7" s="28">
        <v>16.37</v>
      </c>
      <c r="S7" s="27">
        <v>1.0315000000000001</v>
      </c>
      <c r="T7" s="24">
        <f t="shared" si="0"/>
        <v>6.0990000000000002</v>
      </c>
      <c r="U7" s="24"/>
    </row>
    <row r="8" spans="1:22" x14ac:dyDescent="0.3">
      <c r="A8" s="14">
        <v>45427</v>
      </c>
      <c r="B8" s="11">
        <v>7</v>
      </c>
      <c r="C8" s="11">
        <v>1</v>
      </c>
      <c r="D8" s="11">
        <v>125.54</v>
      </c>
      <c r="E8" s="13">
        <v>2</v>
      </c>
      <c r="F8" s="17">
        <v>45610</v>
      </c>
      <c r="G8" s="24">
        <v>116.88</v>
      </c>
      <c r="H8" s="24">
        <v>22.87</v>
      </c>
      <c r="I8" s="24">
        <v>16.708500000000001</v>
      </c>
      <c r="J8" s="45">
        <v>12.826000000000001</v>
      </c>
      <c r="K8" s="39">
        <f t="shared" si="2"/>
        <v>11.825800000000001</v>
      </c>
      <c r="L8" s="24">
        <v>4.1801000000000004</v>
      </c>
      <c r="M8" s="25">
        <v>45614</v>
      </c>
      <c r="N8" s="24">
        <v>2.0038</v>
      </c>
      <c r="O8" s="44">
        <v>2.6806000000000001</v>
      </c>
      <c r="P8" s="39">
        <f t="shared" si="1"/>
        <v>1.6804000000000001</v>
      </c>
      <c r="Q8" s="24">
        <v>113.31</v>
      </c>
      <c r="R8" s="24">
        <v>24.71</v>
      </c>
      <c r="S8" s="24">
        <v>1.0002</v>
      </c>
      <c r="T8" s="24">
        <f t="shared" si="0"/>
        <v>10.1454</v>
      </c>
      <c r="U8" s="24"/>
    </row>
    <row r="9" spans="1:22" x14ac:dyDescent="0.3">
      <c r="A9" s="14">
        <v>45427</v>
      </c>
      <c r="B9" s="11">
        <v>8</v>
      </c>
      <c r="C9" s="11">
        <v>1</v>
      </c>
      <c r="D9" s="11">
        <v>112.94</v>
      </c>
      <c r="E9" s="13">
        <v>2.4</v>
      </c>
      <c r="F9" s="17">
        <v>45615</v>
      </c>
      <c r="G9" s="24">
        <v>104.87</v>
      </c>
      <c r="H9" s="24">
        <v>23.34</v>
      </c>
      <c r="I9" s="24">
        <v>18.724299999999999</v>
      </c>
      <c r="J9" s="45">
        <v>14.9649</v>
      </c>
      <c r="K9" s="39">
        <f t="shared" si="2"/>
        <v>13.8772</v>
      </c>
      <c r="L9" s="24">
        <v>4.1109</v>
      </c>
      <c r="M9" s="25">
        <v>45618</v>
      </c>
      <c r="N9" s="27">
        <v>1.8178000000000001</v>
      </c>
      <c r="O9" s="44">
        <v>2.4483000000000001</v>
      </c>
      <c r="P9" s="39">
        <f t="shared" si="1"/>
        <v>1.3606000000000003</v>
      </c>
      <c r="Q9" s="24">
        <v>104.02</v>
      </c>
      <c r="R9" s="28">
        <v>20.61</v>
      </c>
      <c r="S9" s="27">
        <v>1.0876999999999999</v>
      </c>
      <c r="T9" s="24">
        <f t="shared" si="0"/>
        <v>12.5166</v>
      </c>
      <c r="U9" s="24"/>
    </row>
    <row r="10" spans="1:22" x14ac:dyDescent="0.3">
      <c r="A10" s="14">
        <v>45427</v>
      </c>
      <c r="B10" s="11">
        <v>9</v>
      </c>
      <c r="C10" s="11">
        <v>1</v>
      </c>
      <c r="D10" s="11">
        <v>102.92</v>
      </c>
      <c r="E10" s="13">
        <v>2.2000000000000002</v>
      </c>
      <c r="F10" s="17">
        <v>45614</v>
      </c>
      <c r="G10" s="28">
        <v>92.9</v>
      </c>
      <c r="H10" s="24">
        <v>20.010000000000002</v>
      </c>
      <c r="I10" s="24">
        <v>12.6686</v>
      </c>
      <c r="J10" s="44">
        <v>8.8466000000000005</v>
      </c>
      <c r="K10" s="39">
        <f t="shared" si="2"/>
        <v>7.8307000000000002</v>
      </c>
      <c r="L10" s="24">
        <v>3.0687000000000002</v>
      </c>
      <c r="M10" s="25">
        <v>45618</v>
      </c>
      <c r="N10" s="24">
        <v>1.2257</v>
      </c>
      <c r="O10" s="44">
        <v>1.9632000000000001</v>
      </c>
      <c r="P10" s="39">
        <f t="shared" si="1"/>
        <v>0.94730000000000003</v>
      </c>
      <c r="Q10" s="24">
        <v>92.41</v>
      </c>
      <c r="R10" s="24">
        <v>18.34</v>
      </c>
      <c r="S10" s="24">
        <v>1.0159</v>
      </c>
      <c r="T10" s="24">
        <f t="shared" si="0"/>
        <v>6.8834</v>
      </c>
      <c r="U10" s="24"/>
    </row>
    <row r="11" spans="1:22" x14ac:dyDescent="0.3">
      <c r="A11" s="14">
        <v>45427</v>
      </c>
      <c r="B11" s="11">
        <v>10</v>
      </c>
      <c r="C11" s="11">
        <v>1</v>
      </c>
      <c r="D11" s="11">
        <v>111.37</v>
      </c>
      <c r="E11" s="13">
        <v>2.2000000000000002</v>
      </c>
      <c r="F11" s="16">
        <v>45603</v>
      </c>
      <c r="G11" s="24">
        <v>116.25</v>
      </c>
      <c r="H11" s="24">
        <v>22.18</v>
      </c>
      <c r="I11" s="24">
        <v>16.729299999999999</v>
      </c>
      <c r="J11" s="44">
        <v>12.248799999999999</v>
      </c>
      <c r="K11" s="39">
        <f t="shared" si="2"/>
        <v>11.227799999999998</v>
      </c>
      <c r="L11" s="27">
        <v>4.99</v>
      </c>
      <c r="M11" s="25">
        <v>45608</v>
      </c>
      <c r="N11" s="24">
        <v>1.8190999999999999</v>
      </c>
      <c r="O11" s="44">
        <v>2.3193000000000001</v>
      </c>
      <c r="P11" s="39">
        <f t="shared" si="1"/>
        <v>1.2983000000000002</v>
      </c>
      <c r="Q11" s="24">
        <v>115.91</v>
      </c>
      <c r="R11" s="24">
        <v>22.16</v>
      </c>
      <c r="S11" s="27">
        <v>1.0209999999999999</v>
      </c>
      <c r="T11" s="24">
        <f t="shared" si="0"/>
        <v>9.9294999999999973</v>
      </c>
      <c r="U11" s="24"/>
    </row>
    <row r="12" spans="1:22" x14ac:dyDescent="0.3">
      <c r="A12" s="14">
        <v>45427</v>
      </c>
      <c r="B12" s="11">
        <v>11</v>
      </c>
      <c r="C12" s="11">
        <v>1</v>
      </c>
      <c r="D12" s="11">
        <v>110.85</v>
      </c>
      <c r="E12" s="13">
        <v>2</v>
      </c>
      <c r="F12" s="16">
        <v>45603</v>
      </c>
      <c r="G12" s="24">
        <v>97.35</v>
      </c>
      <c r="H12" s="28">
        <v>21</v>
      </c>
      <c r="I12" s="27">
        <v>12.8751</v>
      </c>
      <c r="J12" s="44">
        <v>8.6354000000000006</v>
      </c>
      <c r="K12" s="39">
        <f t="shared" si="2"/>
        <v>7.6041000000000007</v>
      </c>
      <c r="L12" s="24">
        <v>3.3294000000000001</v>
      </c>
      <c r="M12" s="25">
        <v>45608</v>
      </c>
      <c r="N12" s="24">
        <v>1.3378000000000001</v>
      </c>
      <c r="O12" s="45">
        <v>2.044</v>
      </c>
      <c r="P12" s="39">
        <f t="shared" si="1"/>
        <v>1.0126999999999999</v>
      </c>
      <c r="Q12" s="24">
        <v>96.38</v>
      </c>
      <c r="R12" s="28">
        <v>19.100000000000001</v>
      </c>
      <c r="S12" s="27">
        <v>1.0313000000000001</v>
      </c>
      <c r="T12" s="24">
        <f t="shared" si="0"/>
        <v>6.591400000000001</v>
      </c>
      <c r="U12" s="24"/>
    </row>
    <row r="13" spans="1:22" x14ac:dyDescent="0.3">
      <c r="A13" s="14">
        <v>45427</v>
      </c>
      <c r="B13" s="11">
        <v>12</v>
      </c>
      <c r="C13" s="11">
        <v>1</v>
      </c>
      <c r="D13" s="11">
        <v>119.56</v>
      </c>
      <c r="E13" s="13">
        <v>2</v>
      </c>
      <c r="F13" s="17">
        <v>45614</v>
      </c>
      <c r="G13" s="24">
        <v>111.75</v>
      </c>
      <c r="H13" s="24">
        <v>22.81</v>
      </c>
      <c r="I13" s="24">
        <v>13.9358</v>
      </c>
      <c r="J13" s="44">
        <v>9.5615000000000006</v>
      </c>
      <c r="K13" s="39">
        <f t="shared" si="2"/>
        <v>8.4787999999999997</v>
      </c>
      <c r="L13" s="24">
        <v>4.7704000000000004</v>
      </c>
      <c r="M13" s="25">
        <v>45618</v>
      </c>
      <c r="N13" s="24">
        <v>1.9066000000000001</v>
      </c>
      <c r="O13" s="45">
        <v>2.4089999999999998</v>
      </c>
      <c r="P13" s="39">
        <f t="shared" si="1"/>
        <v>1.3262999999999998</v>
      </c>
      <c r="Q13" s="24">
        <v>109.75</v>
      </c>
      <c r="R13" s="28">
        <v>23</v>
      </c>
      <c r="S13" s="24">
        <v>1.0827</v>
      </c>
      <c r="T13" s="24">
        <f t="shared" si="0"/>
        <v>7.1524999999999999</v>
      </c>
      <c r="U13" s="29"/>
      <c r="V13" s="30"/>
    </row>
    <row r="14" spans="1:22" x14ac:dyDescent="0.3">
      <c r="A14" s="14">
        <v>45427</v>
      </c>
      <c r="B14" s="11">
        <v>13</v>
      </c>
      <c r="C14" s="11">
        <v>1</v>
      </c>
      <c r="D14" s="11">
        <v>111.9</v>
      </c>
      <c r="E14" s="13">
        <v>2.2000000000000002</v>
      </c>
      <c r="F14" s="17">
        <v>45614</v>
      </c>
      <c r="G14" s="24">
        <v>101.17</v>
      </c>
      <c r="H14" s="24">
        <v>21.78</v>
      </c>
      <c r="I14" s="24">
        <v>14.5991</v>
      </c>
      <c r="J14" s="45">
        <v>11.851100000000001</v>
      </c>
      <c r="K14" s="39">
        <f t="shared" si="2"/>
        <v>10.866000000000001</v>
      </c>
      <c r="L14" s="27">
        <v>3.3492000000000002</v>
      </c>
      <c r="M14" s="25">
        <v>45618</v>
      </c>
      <c r="N14" s="24">
        <v>1.4345000000000001</v>
      </c>
      <c r="O14" s="44">
        <v>2.0994999999999999</v>
      </c>
      <c r="P14" s="39">
        <f t="shared" si="1"/>
        <v>1.1143999999999998</v>
      </c>
      <c r="Q14" s="24">
        <v>101.01</v>
      </c>
      <c r="R14" s="24">
        <v>20.86</v>
      </c>
      <c r="S14" s="24">
        <v>0.98509999999999998</v>
      </c>
      <c r="T14" s="24">
        <f t="shared" si="0"/>
        <v>9.7516000000000016</v>
      </c>
      <c r="U14" s="24"/>
    </row>
    <row r="15" spans="1:22" x14ac:dyDescent="0.3">
      <c r="A15" s="14">
        <v>45427</v>
      </c>
      <c r="B15" s="11">
        <v>14</v>
      </c>
      <c r="C15" s="11">
        <v>1</v>
      </c>
      <c r="D15" s="11">
        <v>117.7</v>
      </c>
      <c r="E15" s="13">
        <v>2.2000000000000002</v>
      </c>
      <c r="F15" s="16">
        <v>45603</v>
      </c>
      <c r="G15" s="24">
        <v>108.71</v>
      </c>
      <c r="H15" s="28">
        <v>23.1</v>
      </c>
      <c r="I15" s="27">
        <v>16.0717</v>
      </c>
      <c r="J15" s="44">
        <v>11.3444</v>
      </c>
      <c r="K15" s="39">
        <f t="shared" si="2"/>
        <v>10.328800000000001</v>
      </c>
      <c r="L15" s="24">
        <v>4.4333999999999998</v>
      </c>
      <c r="M15" s="25">
        <v>45608</v>
      </c>
      <c r="N15" s="24">
        <v>1.8203</v>
      </c>
      <c r="O15" s="44">
        <v>2.3904999999999998</v>
      </c>
      <c r="P15" s="39">
        <f t="shared" si="1"/>
        <v>1.3748999999999998</v>
      </c>
      <c r="Q15" s="24">
        <v>105.81</v>
      </c>
      <c r="R15" s="24">
        <v>22.73</v>
      </c>
      <c r="S15" s="24">
        <v>1.0156000000000001</v>
      </c>
      <c r="T15" s="24">
        <f t="shared" si="0"/>
        <v>8.9539000000000009</v>
      </c>
      <c r="U15" s="24"/>
    </row>
    <row r="16" spans="1:22" x14ac:dyDescent="0.3">
      <c r="A16" s="14">
        <v>45427</v>
      </c>
      <c r="B16" s="11">
        <v>15</v>
      </c>
      <c r="C16" s="11">
        <v>1</v>
      </c>
      <c r="D16" s="11">
        <v>121.47</v>
      </c>
      <c r="E16" s="13">
        <v>2</v>
      </c>
      <c r="F16" s="17">
        <v>45614</v>
      </c>
      <c r="G16" s="24">
        <v>117.75</v>
      </c>
      <c r="H16" s="24">
        <v>22.65</v>
      </c>
      <c r="I16" s="24">
        <v>22.791399999999999</v>
      </c>
      <c r="J16" s="44">
        <v>17.023499999999999</v>
      </c>
      <c r="K16" s="39">
        <f t="shared" si="2"/>
        <v>16.003299999999999</v>
      </c>
      <c r="L16" s="27">
        <v>4.7755999999999998</v>
      </c>
      <c r="M16" s="25">
        <v>45618</v>
      </c>
      <c r="N16" s="27">
        <v>1.8480000000000001</v>
      </c>
      <c r="O16" s="45">
        <v>2.5642</v>
      </c>
      <c r="P16" s="39">
        <f t="shared" si="1"/>
        <v>1.544</v>
      </c>
      <c r="Q16" s="24">
        <v>115.28</v>
      </c>
      <c r="R16" s="24">
        <v>23.12</v>
      </c>
      <c r="S16" s="24">
        <v>1.0202</v>
      </c>
      <c r="T16" s="24">
        <f t="shared" si="0"/>
        <v>14.459299999999999</v>
      </c>
      <c r="U16" s="24"/>
    </row>
    <row r="17" spans="1:21" x14ac:dyDescent="0.3">
      <c r="A17" s="14">
        <v>45427</v>
      </c>
      <c r="B17" s="11">
        <v>16</v>
      </c>
      <c r="C17" s="11">
        <v>1</v>
      </c>
      <c r="D17" s="11">
        <v>100.34</v>
      </c>
      <c r="E17" s="13">
        <v>2.4</v>
      </c>
      <c r="F17" s="17">
        <v>45615</v>
      </c>
      <c r="G17" s="24">
        <v>76.849999999999994</v>
      </c>
      <c r="H17" s="28">
        <v>18.899999999999999</v>
      </c>
      <c r="I17" s="27">
        <v>8.8109000000000002</v>
      </c>
      <c r="J17" s="44">
        <v>6.4245000000000001</v>
      </c>
      <c r="K17" s="39">
        <f t="shared" si="2"/>
        <v>5.3359000000000005</v>
      </c>
      <c r="L17" s="24">
        <v>2.0623</v>
      </c>
      <c r="M17" s="25">
        <v>45618</v>
      </c>
      <c r="N17" s="24">
        <v>0.85970000000000002</v>
      </c>
      <c r="O17" s="44">
        <v>1.7979000000000001</v>
      </c>
      <c r="P17" s="39">
        <f t="shared" si="1"/>
        <v>0.70930000000000004</v>
      </c>
      <c r="Q17" s="28">
        <v>75.02</v>
      </c>
      <c r="R17" s="28">
        <v>14.1</v>
      </c>
      <c r="S17" s="27">
        <v>1.0886</v>
      </c>
      <c r="T17" s="24">
        <f t="shared" si="0"/>
        <v>4.6266000000000007</v>
      </c>
      <c r="U17" s="24"/>
    </row>
    <row r="18" spans="1:21" x14ac:dyDescent="0.3">
      <c r="A18" s="14">
        <v>45427</v>
      </c>
      <c r="B18" s="11">
        <v>17</v>
      </c>
      <c r="C18" s="11">
        <v>1</v>
      </c>
      <c r="D18" s="11">
        <v>108.85</v>
      </c>
      <c r="E18" s="13">
        <v>2.2000000000000002</v>
      </c>
      <c r="F18" s="16">
        <v>45603</v>
      </c>
      <c r="G18" s="24">
        <v>95.13</v>
      </c>
      <c r="H18" s="28">
        <v>21.12</v>
      </c>
      <c r="I18" s="27">
        <v>11.6272</v>
      </c>
      <c r="J18" s="44">
        <v>8.4244000000000003</v>
      </c>
      <c r="K18" s="39">
        <f t="shared" si="2"/>
        <v>7.4161999999999999</v>
      </c>
      <c r="L18" s="24">
        <v>3.2244999999999999</v>
      </c>
      <c r="M18" s="25">
        <v>45608</v>
      </c>
      <c r="N18" s="24">
        <v>1.1711</v>
      </c>
      <c r="O18" s="44">
        <v>1.9191</v>
      </c>
      <c r="P18" s="39">
        <f t="shared" si="1"/>
        <v>0.91090000000000004</v>
      </c>
      <c r="Q18" s="24">
        <v>95.58</v>
      </c>
      <c r="R18" s="24">
        <v>15.51</v>
      </c>
      <c r="S18" s="24">
        <v>1.0082</v>
      </c>
      <c r="T18" s="24">
        <f t="shared" si="0"/>
        <v>6.5053000000000001</v>
      </c>
      <c r="U18" s="24"/>
    </row>
    <row r="19" spans="1:21" x14ac:dyDescent="0.3">
      <c r="A19" s="14">
        <v>45427</v>
      </c>
      <c r="B19" s="11">
        <v>18</v>
      </c>
      <c r="C19" s="11">
        <v>1</v>
      </c>
      <c r="D19" s="11">
        <v>104.29</v>
      </c>
      <c r="E19" s="13">
        <v>2.2000000000000002</v>
      </c>
      <c r="F19" s="16">
        <v>45603</v>
      </c>
      <c r="G19" s="24">
        <v>88.09</v>
      </c>
      <c r="H19" s="24">
        <v>18.28</v>
      </c>
      <c r="I19" s="24">
        <v>8.9197000000000006</v>
      </c>
      <c r="J19" s="44">
        <v>6.3459000000000003</v>
      </c>
      <c r="K19" s="39">
        <f t="shared" si="2"/>
        <v>5.3359000000000005</v>
      </c>
      <c r="L19" s="27">
        <v>2.6137000000000001</v>
      </c>
      <c r="M19" s="25">
        <v>45608</v>
      </c>
      <c r="N19" s="24">
        <v>1.0674999999999999</v>
      </c>
      <c r="O19" s="44">
        <v>1.8444</v>
      </c>
      <c r="P19" s="39">
        <f t="shared" si="1"/>
        <v>0.83440000000000003</v>
      </c>
      <c r="Q19" s="24">
        <v>86.66</v>
      </c>
      <c r="R19" s="24">
        <v>16.43</v>
      </c>
      <c r="S19" s="27">
        <v>1.01</v>
      </c>
      <c r="T19" s="24">
        <f t="shared" si="0"/>
        <v>4.5015000000000001</v>
      </c>
      <c r="U19" s="24"/>
    </row>
    <row r="20" spans="1:21" x14ac:dyDescent="0.3">
      <c r="A20" s="14">
        <v>45427</v>
      </c>
      <c r="B20" s="11">
        <v>19</v>
      </c>
      <c r="C20" s="11">
        <v>1</v>
      </c>
      <c r="D20" s="11">
        <v>102.46</v>
      </c>
      <c r="E20" s="13">
        <v>2.4</v>
      </c>
      <c r="F20" s="16">
        <v>45603</v>
      </c>
      <c r="G20" s="28">
        <v>85.8</v>
      </c>
      <c r="H20" s="28">
        <v>16.899999999999999</v>
      </c>
      <c r="I20" s="27">
        <v>6.8949999999999996</v>
      </c>
      <c r="J20" s="44">
        <v>5.4542999999999999</v>
      </c>
      <c r="K20" s="39">
        <f t="shared" si="2"/>
        <v>4.4542999999999999</v>
      </c>
      <c r="L20" s="24">
        <v>2.0485000000000002</v>
      </c>
      <c r="M20" s="25">
        <v>45608</v>
      </c>
      <c r="N20" s="24">
        <v>0.88990000000000002</v>
      </c>
      <c r="O20" s="44">
        <v>1.7234</v>
      </c>
      <c r="P20" s="39">
        <f t="shared" si="1"/>
        <v>0.72340000000000004</v>
      </c>
      <c r="Q20" s="28">
        <v>84.3</v>
      </c>
      <c r="R20" s="28">
        <v>16.190000000000001</v>
      </c>
      <c r="S20" s="27">
        <v>1</v>
      </c>
      <c r="T20" s="24">
        <f t="shared" si="0"/>
        <v>3.7309000000000001</v>
      </c>
      <c r="U20" s="24"/>
    </row>
    <row r="21" spans="1:21" x14ac:dyDescent="0.3">
      <c r="A21" s="14">
        <v>45427</v>
      </c>
      <c r="B21" s="11">
        <v>20</v>
      </c>
      <c r="C21" s="11">
        <v>1</v>
      </c>
      <c r="D21" s="11">
        <v>121.72</v>
      </c>
      <c r="E21" s="13">
        <v>2.2000000000000002</v>
      </c>
      <c r="F21" s="16">
        <v>45603</v>
      </c>
      <c r="G21" s="24">
        <v>115.79</v>
      </c>
      <c r="H21" s="24">
        <v>23.62</v>
      </c>
      <c r="I21" s="24">
        <v>18.395199999999999</v>
      </c>
      <c r="J21" s="44">
        <v>13.697900000000001</v>
      </c>
      <c r="K21" s="39">
        <f t="shared" si="2"/>
        <v>12.685700000000001</v>
      </c>
      <c r="L21" s="24">
        <v>4.6593</v>
      </c>
      <c r="M21" s="25">
        <v>45608</v>
      </c>
      <c r="N21" s="24">
        <v>2.0068999999999999</v>
      </c>
      <c r="O21" s="45">
        <v>2.6896</v>
      </c>
      <c r="P21" s="39">
        <f t="shared" si="1"/>
        <v>1.6774</v>
      </c>
      <c r="Q21" s="24">
        <v>114.14</v>
      </c>
      <c r="R21" s="24">
        <v>23.54</v>
      </c>
      <c r="S21" s="24">
        <v>1.0122</v>
      </c>
      <c r="T21" s="24">
        <f t="shared" si="0"/>
        <v>11.0083</v>
      </c>
      <c r="U21" s="24"/>
    </row>
    <row r="22" spans="1:21" x14ac:dyDescent="0.3">
      <c r="A22" s="14">
        <v>45427</v>
      </c>
      <c r="B22" s="11">
        <v>21</v>
      </c>
      <c r="C22" s="11">
        <v>1</v>
      </c>
      <c r="D22" s="11">
        <v>107.39</v>
      </c>
      <c r="E22" s="13">
        <v>2.2000000000000002</v>
      </c>
      <c r="F22" s="17">
        <v>45614</v>
      </c>
      <c r="G22" s="24">
        <v>85.43</v>
      </c>
      <c r="H22" s="24">
        <v>20.73</v>
      </c>
      <c r="I22" s="24">
        <v>13.090199999999999</v>
      </c>
      <c r="J22" s="45">
        <v>9.8984000000000005</v>
      </c>
      <c r="K22" s="39">
        <f t="shared" si="2"/>
        <v>8.8929000000000009</v>
      </c>
      <c r="L22" s="27">
        <v>3.2082999999999999</v>
      </c>
      <c r="M22" s="25">
        <v>45618</v>
      </c>
      <c r="N22" s="24">
        <v>1.2970999999999999</v>
      </c>
      <c r="O22" s="44">
        <v>1.9612000000000001</v>
      </c>
      <c r="P22" s="39">
        <f t="shared" si="1"/>
        <v>0.95569999999999999</v>
      </c>
      <c r="Q22" s="24">
        <v>84.63</v>
      </c>
      <c r="R22" s="24">
        <v>18.170000000000002</v>
      </c>
      <c r="S22" s="24">
        <v>1.0055000000000001</v>
      </c>
      <c r="T22" s="24">
        <f t="shared" si="0"/>
        <v>7.9372000000000007</v>
      </c>
      <c r="U22" s="24"/>
    </row>
    <row r="23" spans="1:21" x14ac:dyDescent="0.3">
      <c r="A23" s="14">
        <v>45427</v>
      </c>
      <c r="B23" s="11">
        <v>22</v>
      </c>
      <c r="C23" s="11">
        <v>1</v>
      </c>
      <c r="D23" s="11">
        <v>113.03</v>
      </c>
      <c r="E23" s="13">
        <v>2</v>
      </c>
      <c r="F23" s="17">
        <v>45615</v>
      </c>
      <c r="G23" s="28">
        <v>104.88</v>
      </c>
      <c r="H23" s="28">
        <v>23.2</v>
      </c>
      <c r="I23" s="27">
        <v>10.150700000000001</v>
      </c>
      <c r="J23" s="44">
        <v>7.6961000000000004</v>
      </c>
      <c r="K23" s="39">
        <f t="shared" si="2"/>
        <v>6.6102000000000007</v>
      </c>
      <c r="L23" s="27">
        <v>3.3370000000000002</v>
      </c>
      <c r="M23" s="25">
        <v>45618</v>
      </c>
      <c r="N23" s="27">
        <v>1.5149999999999999</v>
      </c>
      <c r="O23" s="44">
        <v>2.2715000000000001</v>
      </c>
      <c r="P23" s="39">
        <f t="shared" si="1"/>
        <v>1.1856</v>
      </c>
      <c r="Q23" s="24">
        <v>103.45</v>
      </c>
      <c r="R23" s="24">
        <v>20.47</v>
      </c>
      <c r="S23" s="24">
        <v>1.0859000000000001</v>
      </c>
      <c r="T23" s="24">
        <f t="shared" si="0"/>
        <v>5.4246000000000008</v>
      </c>
      <c r="U23" s="24"/>
    </row>
    <row r="24" spans="1:21" x14ac:dyDescent="0.3">
      <c r="A24" s="14">
        <v>45427</v>
      </c>
      <c r="B24" s="11">
        <v>23</v>
      </c>
      <c r="C24" s="11">
        <v>3</v>
      </c>
      <c r="D24" s="11">
        <v>113.56</v>
      </c>
      <c r="E24" s="13">
        <v>4.4000000000000004</v>
      </c>
      <c r="F24" s="16">
        <v>45603</v>
      </c>
      <c r="G24" s="24">
        <v>116.16</v>
      </c>
      <c r="H24" s="24">
        <v>21.61</v>
      </c>
      <c r="I24" s="24">
        <v>18.724299999999999</v>
      </c>
      <c r="J24" s="44">
        <v>12.1843</v>
      </c>
      <c r="K24" s="39">
        <f t="shared" si="2"/>
        <v>11.081100000000001</v>
      </c>
      <c r="L24" s="24">
        <v>6.7488000000000001</v>
      </c>
      <c r="M24" s="25">
        <v>45608</v>
      </c>
      <c r="N24" s="27">
        <v>3.2261000000000002</v>
      </c>
      <c r="O24" s="44">
        <v>3.3616999999999999</v>
      </c>
      <c r="P24" s="39">
        <f t="shared" si="1"/>
        <v>2.2584999999999997</v>
      </c>
      <c r="Q24" s="24">
        <v>115.21</v>
      </c>
      <c r="R24" s="24">
        <v>23.84</v>
      </c>
      <c r="S24" s="24">
        <v>1.1032</v>
      </c>
      <c r="T24" s="24">
        <f t="shared" si="0"/>
        <v>8.8226000000000013</v>
      </c>
      <c r="U24" s="24"/>
    </row>
    <row r="25" spans="1:21" x14ac:dyDescent="0.3">
      <c r="A25" s="14">
        <v>45427</v>
      </c>
      <c r="B25" s="11">
        <v>24</v>
      </c>
      <c r="C25" s="11" t="s">
        <v>2</v>
      </c>
      <c r="D25" s="11">
        <v>117.31</v>
      </c>
      <c r="E25" s="13">
        <v>4.5999999999999996</v>
      </c>
      <c r="F25" s="17">
        <v>45614</v>
      </c>
      <c r="G25" s="24">
        <v>122.14</v>
      </c>
      <c r="H25" s="24">
        <v>23.32</v>
      </c>
      <c r="I25" s="24">
        <v>24.0947</v>
      </c>
      <c r="J25" s="44">
        <v>17.775700000000001</v>
      </c>
      <c r="K25" s="39">
        <f t="shared" si="2"/>
        <v>16.7455</v>
      </c>
      <c r="L25" s="24">
        <v>6.9781000000000004</v>
      </c>
      <c r="M25" s="25">
        <v>45618</v>
      </c>
      <c r="N25" s="24">
        <v>3.6659000000000002</v>
      </c>
      <c r="O25" s="44">
        <v>4.2484000000000002</v>
      </c>
      <c r="P25" s="39">
        <f t="shared" si="1"/>
        <v>3.2182000000000004</v>
      </c>
      <c r="Q25" s="24">
        <v>121.17</v>
      </c>
      <c r="R25" s="24">
        <v>25.68</v>
      </c>
      <c r="S25" s="24">
        <v>1.0302</v>
      </c>
      <c r="T25" s="24">
        <f t="shared" si="0"/>
        <v>13.5273</v>
      </c>
      <c r="U25" s="24"/>
    </row>
    <row r="26" spans="1:21" x14ac:dyDescent="0.3">
      <c r="A26" s="14">
        <v>45427</v>
      </c>
      <c r="B26" s="11">
        <v>25</v>
      </c>
      <c r="C26" s="11">
        <v>2</v>
      </c>
      <c r="D26" s="11">
        <v>109.8</v>
      </c>
      <c r="E26" s="13">
        <v>5</v>
      </c>
      <c r="F26" s="17">
        <v>45614</v>
      </c>
      <c r="G26" s="24">
        <v>97.48</v>
      </c>
      <c r="H26" s="24">
        <v>17.71</v>
      </c>
      <c r="I26" s="24">
        <v>12.6671</v>
      </c>
      <c r="J26" s="44">
        <v>8.4192</v>
      </c>
      <c r="K26" s="39">
        <f t="shared" si="2"/>
        <v>7.3360000000000003</v>
      </c>
      <c r="L26" s="24">
        <v>4.5491000000000001</v>
      </c>
      <c r="M26" s="25">
        <v>45618</v>
      </c>
      <c r="N26" s="24">
        <v>2.2378</v>
      </c>
      <c r="O26" s="44">
        <v>2.3548</v>
      </c>
      <c r="P26" s="39">
        <f t="shared" si="1"/>
        <v>1.2716000000000001</v>
      </c>
      <c r="Q26" s="28">
        <v>96.6</v>
      </c>
      <c r="R26" s="28">
        <v>18.399999999999999</v>
      </c>
      <c r="S26" s="24">
        <v>1.0831999999999999</v>
      </c>
      <c r="T26" s="24">
        <f t="shared" si="0"/>
        <v>6.0644</v>
      </c>
      <c r="U26" s="24"/>
    </row>
    <row r="27" spans="1:21" x14ac:dyDescent="0.3">
      <c r="A27" s="14">
        <v>45427</v>
      </c>
      <c r="B27" s="11">
        <v>26</v>
      </c>
      <c r="C27" s="11">
        <v>3</v>
      </c>
      <c r="D27" s="11">
        <v>91.35</v>
      </c>
      <c r="E27" s="13">
        <v>5.6</v>
      </c>
      <c r="F27" s="17">
        <v>45614</v>
      </c>
      <c r="G27" s="24">
        <v>83.46</v>
      </c>
      <c r="H27" s="24">
        <v>19.260000000000002</v>
      </c>
      <c r="I27" s="24">
        <v>11.684699999999999</v>
      </c>
      <c r="J27" s="44">
        <v>8.4664999999999999</v>
      </c>
      <c r="K27" s="39">
        <f t="shared" si="2"/>
        <v>7.4664000000000001</v>
      </c>
      <c r="L27" s="24">
        <v>3.6585000000000001</v>
      </c>
      <c r="M27" s="25">
        <v>45618</v>
      </c>
      <c r="N27" s="24">
        <v>2.0644</v>
      </c>
      <c r="O27" s="44">
        <v>2.5011999999999999</v>
      </c>
      <c r="P27" s="39">
        <f t="shared" si="1"/>
        <v>1.5010999999999999</v>
      </c>
      <c r="Q27" s="24">
        <v>82.43</v>
      </c>
      <c r="R27" s="24">
        <v>20.02</v>
      </c>
      <c r="S27" s="27">
        <v>1.0001</v>
      </c>
      <c r="T27" s="24">
        <f t="shared" si="0"/>
        <v>5.9653</v>
      </c>
      <c r="U27" s="24"/>
    </row>
    <row r="28" spans="1:21" x14ac:dyDescent="0.3">
      <c r="A28" s="14">
        <v>45427</v>
      </c>
      <c r="B28" s="11">
        <v>27</v>
      </c>
      <c r="C28" s="11">
        <v>4</v>
      </c>
      <c r="D28" s="11">
        <v>96.37</v>
      </c>
      <c r="E28" s="13">
        <v>6.2</v>
      </c>
      <c r="F28" s="17">
        <v>45610</v>
      </c>
      <c r="G28" s="24">
        <v>97.78</v>
      </c>
      <c r="H28" s="24">
        <v>19.149999999999999</v>
      </c>
      <c r="I28" s="24">
        <v>12.825699999999999</v>
      </c>
      <c r="J28" s="45">
        <v>8.7212999999999994</v>
      </c>
      <c r="K28" s="39">
        <f t="shared" si="2"/>
        <v>7.7242999999999995</v>
      </c>
      <c r="L28" s="24">
        <v>4.4085999999999999</v>
      </c>
      <c r="M28" s="25">
        <v>45614</v>
      </c>
      <c r="N28" s="24">
        <v>2.0566</v>
      </c>
      <c r="O28" s="44">
        <v>2.7347000000000001</v>
      </c>
      <c r="P28" s="39">
        <f t="shared" si="1"/>
        <v>1.7377000000000002</v>
      </c>
      <c r="Q28" s="24">
        <v>96.02</v>
      </c>
      <c r="R28" s="24">
        <v>20.03</v>
      </c>
      <c r="S28" s="27">
        <v>0.997</v>
      </c>
      <c r="T28" s="24">
        <f t="shared" si="0"/>
        <v>5.9865999999999993</v>
      </c>
      <c r="U28" s="24"/>
    </row>
    <row r="29" spans="1:21" x14ac:dyDescent="0.3">
      <c r="A29" s="14">
        <v>45427</v>
      </c>
      <c r="B29" s="11">
        <v>28</v>
      </c>
      <c r="C29" s="11">
        <v>3</v>
      </c>
      <c r="D29" s="11">
        <v>109.28</v>
      </c>
      <c r="E29" s="13">
        <v>6.4</v>
      </c>
      <c r="F29" s="17">
        <v>45614</v>
      </c>
      <c r="G29" s="24">
        <v>100.67</v>
      </c>
      <c r="H29" s="24">
        <v>20.74</v>
      </c>
      <c r="I29" s="24">
        <v>16.5642</v>
      </c>
      <c r="J29" s="44">
        <v>11.542199999999999</v>
      </c>
      <c r="K29" s="39">
        <f t="shared" si="2"/>
        <v>10.457599999999999</v>
      </c>
      <c r="L29" s="24">
        <v>5.7493999999999996</v>
      </c>
      <c r="M29" s="25">
        <v>45618</v>
      </c>
      <c r="N29" s="24">
        <v>2.8157999999999999</v>
      </c>
      <c r="O29" s="44">
        <v>3.3203</v>
      </c>
      <c r="P29" s="39">
        <f t="shared" si="1"/>
        <v>2.2357</v>
      </c>
      <c r="Q29" s="24">
        <v>99.45</v>
      </c>
      <c r="R29" s="24">
        <v>21.67</v>
      </c>
      <c r="S29" s="24">
        <v>1.0846</v>
      </c>
      <c r="T29" s="24">
        <f t="shared" si="0"/>
        <v>8.2218999999999998</v>
      </c>
      <c r="U29" s="24"/>
    </row>
    <row r="30" spans="1:21" x14ac:dyDescent="0.3">
      <c r="A30" s="14">
        <v>45427</v>
      </c>
      <c r="B30" s="11">
        <v>29</v>
      </c>
      <c r="C30" s="11">
        <v>3</v>
      </c>
      <c r="D30" s="11">
        <v>110.17</v>
      </c>
      <c r="E30" s="13">
        <v>5.2</v>
      </c>
      <c r="F30" s="17">
        <v>45615</v>
      </c>
      <c r="G30" s="28">
        <v>100</v>
      </c>
      <c r="H30" s="24">
        <v>21.02</v>
      </c>
      <c r="I30" s="24">
        <v>16.044699999999999</v>
      </c>
      <c r="J30" s="44">
        <v>11.1806</v>
      </c>
      <c r="K30" s="39">
        <f t="shared" si="2"/>
        <v>10.0937</v>
      </c>
      <c r="L30" s="24">
        <v>5.1829000000000001</v>
      </c>
      <c r="M30" s="25">
        <v>45618</v>
      </c>
      <c r="N30" s="27">
        <v>2.8511000000000002</v>
      </c>
      <c r="O30" s="44">
        <v>3.2361</v>
      </c>
      <c r="P30" s="39">
        <f t="shared" si="1"/>
        <v>2.1492</v>
      </c>
      <c r="Q30" s="24">
        <v>99.72</v>
      </c>
      <c r="R30" s="24">
        <v>21.44</v>
      </c>
      <c r="S30" s="24">
        <v>1.0869</v>
      </c>
      <c r="T30" s="24">
        <f t="shared" si="0"/>
        <v>7.9444999999999997</v>
      </c>
      <c r="U30" s="24"/>
    </row>
    <row r="31" spans="1:21" x14ac:dyDescent="0.3">
      <c r="A31" s="14">
        <v>45427</v>
      </c>
      <c r="B31" s="11">
        <v>30</v>
      </c>
      <c r="C31" s="11">
        <v>2</v>
      </c>
      <c r="D31" s="11">
        <v>100.53</v>
      </c>
      <c r="E31" s="13">
        <v>5</v>
      </c>
      <c r="F31" s="17">
        <v>45615</v>
      </c>
      <c r="G31" s="28">
        <v>89.6</v>
      </c>
      <c r="H31" s="24">
        <v>19.309999999999999</v>
      </c>
      <c r="I31" s="24">
        <v>13.2121</v>
      </c>
      <c r="J31" s="44">
        <v>9.8937000000000008</v>
      </c>
      <c r="K31" s="39">
        <f t="shared" si="2"/>
        <v>8.8093000000000004</v>
      </c>
      <c r="L31" s="24">
        <v>4.0541</v>
      </c>
      <c r="M31" s="25">
        <v>45618</v>
      </c>
      <c r="N31" s="24">
        <v>2.1436999999999999</v>
      </c>
      <c r="O31" s="44">
        <v>2.6722000000000001</v>
      </c>
      <c r="P31" s="39">
        <f t="shared" si="1"/>
        <v>1.5878000000000001</v>
      </c>
      <c r="Q31" s="24">
        <v>87.49</v>
      </c>
      <c r="R31" s="24">
        <v>20.149999999999999</v>
      </c>
      <c r="S31" s="24">
        <v>1.0844</v>
      </c>
      <c r="T31" s="24">
        <f t="shared" si="0"/>
        <v>7.2215000000000007</v>
      </c>
      <c r="U31" s="24"/>
    </row>
    <row r="32" spans="1:21" x14ac:dyDescent="0.3">
      <c r="A32" s="14">
        <v>45427</v>
      </c>
      <c r="B32" s="11">
        <v>31</v>
      </c>
      <c r="C32" s="11">
        <v>3</v>
      </c>
      <c r="D32" s="11">
        <v>105.67</v>
      </c>
      <c r="E32" s="13">
        <v>5</v>
      </c>
      <c r="F32" s="17">
        <v>45615</v>
      </c>
      <c r="G32" s="28">
        <v>99.92</v>
      </c>
      <c r="H32" s="24">
        <v>20.329999999999998</v>
      </c>
      <c r="I32" s="24">
        <v>14.7074</v>
      </c>
      <c r="J32" s="45">
        <v>10.422499999999999</v>
      </c>
      <c r="K32" s="39">
        <f t="shared" si="2"/>
        <v>9.339599999999999</v>
      </c>
      <c r="L32" s="24">
        <v>4.7702999999999998</v>
      </c>
      <c r="M32" s="25">
        <v>45618</v>
      </c>
      <c r="N32" s="24">
        <v>2.6324000000000001</v>
      </c>
      <c r="O32" s="44">
        <v>3.0589</v>
      </c>
      <c r="P32" s="39">
        <f t="shared" si="1"/>
        <v>1.976</v>
      </c>
      <c r="Q32" s="24">
        <v>99.88</v>
      </c>
      <c r="R32" s="24">
        <v>20.46</v>
      </c>
      <c r="S32" s="24">
        <v>1.0829</v>
      </c>
      <c r="T32" s="24">
        <f t="shared" si="0"/>
        <v>7.363599999999999</v>
      </c>
      <c r="U32" s="24"/>
    </row>
    <row r="33" spans="1:21" s="31" customFormat="1" x14ac:dyDescent="0.3">
      <c r="A33" s="14">
        <v>45427</v>
      </c>
      <c r="B33" s="32">
        <v>32</v>
      </c>
      <c r="C33" s="32">
        <v>3</v>
      </c>
      <c r="D33" s="32">
        <v>113.67</v>
      </c>
      <c r="E33" s="33">
        <v>4.4000000000000004</v>
      </c>
      <c r="F33" s="34">
        <v>45615</v>
      </c>
      <c r="G33" s="35">
        <v>91.65</v>
      </c>
      <c r="H33" s="36">
        <v>22.28</v>
      </c>
      <c r="I33" s="36">
        <v>19.624300000000002</v>
      </c>
      <c r="J33" s="46">
        <v>12.8908</v>
      </c>
      <c r="K33" s="39">
        <f t="shared" si="2"/>
        <v>11.793200000000001</v>
      </c>
      <c r="L33" s="36">
        <v>6.2026000000000003</v>
      </c>
      <c r="M33" s="25">
        <v>45618</v>
      </c>
      <c r="N33" s="36">
        <v>3.1023000000000001</v>
      </c>
      <c r="O33" s="46">
        <v>3.4064999999999999</v>
      </c>
      <c r="P33" s="39">
        <f t="shared" si="1"/>
        <v>2.3089</v>
      </c>
      <c r="Q33" s="35">
        <v>90.69</v>
      </c>
      <c r="R33" s="35">
        <v>21.73</v>
      </c>
      <c r="S33" s="37">
        <v>1.0975999999999999</v>
      </c>
      <c r="T33" s="24">
        <f t="shared" si="0"/>
        <v>9.4843000000000011</v>
      </c>
      <c r="U33" s="36"/>
    </row>
    <row r="34" spans="1:21" x14ac:dyDescent="0.3">
      <c r="A34" s="14">
        <v>45427</v>
      </c>
      <c r="B34" s="11">
        <v>33</v>
      </c>
      <c r="C34" s="11">
        <v>3</v>
      </c>
      <c r="D34" s="11">
        <v>108.81</v>
      </c>
      <c r="E34" s="13">
        <v>5.6</v>
      </c>
      <c r="F34" s="17">
        <v>45615</v>
      </c>
      <c r="G34" s="28">
        <v>96.12</v>
      </c>
      <c r="H34" s="24">
        <v>21.06</v>
      </c>
      <c r="I34" s="24">
        <v>15.029500000000001</v>
      </c>
      <c r="J34" s="45">
        <v>10.727</v>
      </c>
      <c r="K34" s="39">
        <f t="shared" si="2"/>
        <v>9.6387</v>
      </c>
      <c r="L34" s="24">
        <v>4.7733999999999996</v>
      </c>
      <c r="M34" s="25">
        <v>45618</v>
      </c>
      <c r="N34" s="24">
        <v>2.4641999999999999</v>
      </c>
      <c r="O34" s="44">
        <v>3.0989</v>
      </c>
      <c r="P34" s="39">
        <f t="shared" si="1"/>
        <v>2.0106000000000002</v>
      </c>
      <c r="Q34" s="24">
        <v>94.66</v>
      </c>
      <c r="R34" s="24">
        <v>20.62</v>
      </c>
      <c r="S34" s="24">
        <v>1.0883</v>
      </c>
      <c r="T34" s="24">
        <f t="shared" si="0"/>
        <v>7.6280999999999999</v>
      </c>
      <c r="U34" s="24"/>
    </row>
    <row r="35" spans="1:21" x14ac:dyDescent="0.3">
      <c r="A35" s="14">
        <v>45427</v>
      </c>
      <c r="B35" s="11">
        <v>34</v>
      </c>
      <c r="C35" s="11">
        <v>3</v>
      </c>
      <c r="D35" s="11">
        <v>103.03</v>
      </c>
      <c r="E35" s="13">
        <v>3.4</v>
      </c>
      <c r="F35" s="17">
        <v>45614</v>
      </c>
      <c r="G35" s="28">
        <v>96.43</v>
      </c>
      <c r="H35" s="28">
        <v>19.93</v>
      </c>
      <c r="I35" s="27">
        <v>14.87</v>
      </c>
      <c r="J35" s="44">
        <v>10.9597</v>
      </c>
      <c r="K35" s="39">
        <f t="shared" si="2"/>
        <v>9.8767999999999994</v>
      </c>
      <c r="L35" s="27">
        <v>4.4508000000000001</v>
      </c>
      <c r="M35" s="25">
        <v>45618</v>
      </c>
      <c r="N35" s="24">
        <v>2.4771999999999998</v>
      </c>
      <c r="O35" s="44">
        <v>3.0775000000000001</v>
      </c>
      <c r="P35" s="39">
        <f t="shared" si="1"/>
        <v>1.9946000000000002</v>
      </c>
      <c r="Q35" s="28">
        <v>98.2</v>
      </c>
      <c r="R35" s="28">
        <v>20.5</v>
      </c>
      <c r="S35" s="24">
        <v>1.0829</v>
      </c>
      <c r="T35" s="24">
        <f t="shared" si="0"/>
        <v>7.8821999999999992</v>
      </c>
      <c r="U35" s="24"/>
    </row>
    <row r="36" spans="1:21" x14ac:dyDescent="0.3">
      <c r="A36" s="14">
        <v>45427</v>
      </c>
      <c r="B36" s="11">
        <v>35</v>
      </c>
      <c r="C36" s="11">
        <v>3</v>
      </c>
      <c r="D36" s="11">
        <v>117.32</v>
      </c>
      <c r="E36" s="13">
        <v>4.5999999999999996</v>
      </c>
      <c r="F36" s="17">
        <v>45614</v>
      </c>
      <c r="G36" s="28">
        <v>119.48</v>
      </c>
      <c r="H36" s="24">
        <v>23.89</v>
      </c>
      <c r="I36" s="24">
        <v>25.204599999999999</v>
      </c>
      <c r="J36" s="44">
        <v>18.401299999999999</v>
      </c>
      <c r="K36" s="39">
        <f t="shared" si="2"/>
        <v>17.413999999999998</v>
      </c>
      <c r="L36" s="24">
        <v>7.2447999999999997</v>
      </c>
      <c r="M36" s="25">
        <v>45618</v>
      </c>
      <c r="N36" s="24">
        <v>4.0148999999999999</v>
      </c>
      <c r="O36" s="44">
        <v>4.3373999999999997</v>
      </c>
      <c r="P36" s="39">
        <f t="shared" si="1"/>
        <v>3.3500999999999999</v>
      </c>
      <c r="Q36" s="24">
        <v>118.94</v>
      </c>
      <c r="R36" s="24">
        <v>24.74</v>
      </c>
      <c r="S36" s="24">
        <v>0.98729999999999996</v>
      </c>
      <c r="T36" s="24">
        <f t="shared" si="0"/>
        <v>14.063899999999999</v>
      </c>
      <c r="U36" s="24"/>
    </row>
    <row r="37" spans="1:21" x14ac:dyDescent="0.3">
      <c r="A37" s="14">
        <v>45427</v>
      </c>
      <c r="B37" s="11">
        <v>36</v>
      </c>
      <c r="C37" s="11">
        <v>3</v>
      </c>
      <c r="D37" s="11">
        <v>116.05</v>
      </c>
      <c r="E37" s="13">
        <v>3.8</v>
      </c>
      <c r="F37" s="17">
        <v>45610</v>
      </c>
      <c r="G37" s="28">
        <v>114.13</v>
      </c>
      <c r="H37" s="24">
        <v>20.74</v>
      </c>
      <c r="I37" s="27">
        <v>20.970600000000001</v>
      </c>
      <c r="J37" s="45">
        <v>14.7226</v>
      </c>
      <c r="K37" s="39">
        <f t="shared" si="2"/>
        <v>13.7209</v>
      </c>
      <c r="L37" s="27">
        <v>6.5751999999999997</v>
      </c>
      <c r="M37" s="25">
        <v>45614</v>
      </c>
      <c r="N37" s="27">
        <v>3.4409999999999998</v>
      </c>
      <c r="O37" s="44">
        <v>3.5878999999999999</v>
      </c>
      <c r="P37" s="39">
        <f t="shared" si="1"/>
        <v>2.5861999999999998</v>
      </c>
      <c r="Q37" s="24">
        <v>112.89</v>
      </c>
      <c r="R37" s="28">
        <v>21.16</v>
      </c>
      <c r="S37" s="27">
        <v>1.0017</v>
      </c>
      <c r="T37" s="24">
        <f t="shared" si="0"/>
        <v>11.1347</v>
      </c>
      <c r="U37" s="24"/>
    </row>
    <row r="38" spans="1:21" x14ac:dyDescent="0.3">
      <c r="A38" s="14">
        <v>45427</v>
      </c>
      <c r="B38" s="11">
        <v>37</v>
      </c>
      <c r="C38" s="11" t="s">
        <v>2</v>
      </c>
      <c r="D38" s="11">
        <v>114.53</v>
      </c>
      <c r="E38" s="13">
        <v>5.6</v>
      </c>
      <c r="F38" s="17">
        <v>45614</v>
      </c>
      <c r="G38" s="28">
        <v>99.2</v>
      </c>
      <c r="H38" s="24">
        <v>21.68</v>
      </c>
      <c r="I38" s="24">
        <v>18.837399999999999</v>
      </c>
      <c r="J38" s="44">
        <v>12.9259</v>
      </c>
      <c r="K38" s="39">
        <f t="shared" si="2"/>
        <v>11.8378</v>
      </c>
      <c r="L38" s="24">
        <v>6.0987</v>
      </c>
      <c r="M38" s="25">
        <v>45618</v>
      </c>
      <c r="N38" s="27">
        <v>3.0626000000000002</v>
      </c>
      <c r="O38" s="44">
        <v>3.6616</v>
      </c>
      <c r="P38" s="39">
        <f t="shared" si="1"/>
        <v>2.5735000000000001</v>
      </c>
      <c r="Q38" s="24">
        <v>98.68</v>
      </c>
      <c r="R38" s="28">
        <v>22.7</v>
      </c>
      <c r="S38" s="24">
        <v>1.0881000000000001</v>
      </c>
      <c r="T38" s="24">
        <f t="shared" si="0"/>
        <v>9.2642999999999986</v>
      </c>
      <c r="U38" s="24"/>
    </row>
    <row r="39" spans="1:21" x14ac:dyDescent="0.3">
      <c r="A39" s="14">
        <v>45427</v>
      </c>
      <c r="B39" s="11">
        <v>38</v>
      </c>
      <c r="C39" s="11">
        <v>3</v>
      </c>
      <c r="D39" s="11">
        <v>111.91</v>
      </c>
      <c r="E39" s="13">
        <v>6</v>
      </c>
      <c r="F39" s="17">
        <v>45615</v>
      </c>
      <c r="G39" s="28">
        <v>103.36</v>
      </c>
      <c r="H39" s="24">
        <v>21.42</v>
      </c>
      <c r="I39" s="24">
        <v>18.157699999999998</v>
      </c>
      <c r="J39" s="44">
        <v>13.2653</v>
      </c>
      <c r="K39" s="39">
        <f t="shared" si="2"/>
        <v>12.1778</v>
      </c>
      <c r="L39" s="24">
        <v>5.3334000000000001</v>
      </c>
      <c r="M39" s="25">
        <v>45618</v>
      </c>
      <c r="N39" s="24">
        <v>3.0417000000000001</v>
      </c>
      <c r="O39" s="44">
        <v>3.5634999999999999</v>
      </c>
      <c r="P39" s="39">
        <f t="shared" si="1"/>
        <v>2.476</v>
      </c>
      <c r="Q39" s="24">
        <v>102.76</v>
      </c>
      <c r="R39" s="24">
        <v>22.57</v>
      </c>
      <c r="S39" s="24">
        <v>1.0874999999999999</v>
      </c>
      <c r="T39" s="24">
        <f t="shared" si="0"/>
        <v>9.7017999999999986</v>
      </c>
      <c r="U39" s="24"/>
    </row>
    <row r="40" spans="1:21" x14ac:dyDescent="0.3">
      <c r="A40" s="14">
        <v>45427</v>
      </c>
      <c r="B40" s="11">
        <v>39</v>
      </c>
      <c r="C40" s="11">
        <v>2</v>
      </c>
      <c r="D40" s="11">
        <v>102.66</v>
      </c>
      <c r="E40" s="13">
        <v>5.4</v>
      </c>
      <c r="F40" s="17">
        <v>45615</v>
      </c>
      <c r="G40" s="28">
        <v>99.68</v>
      </c>
      <c r="H40" s="24">
        <v>20.64</v>
      </c>
      <c r="I40" s="27">
        <v>15.912000000000001</v>
      </c>
      <c r="J40" s="44">
        <v>12.327500000000001</v>
      </c>
      <c r="K40" s="39">
        <f t="shared" si="2"/>
        <v>11.2362</v>
      </c>
      <c r="L40" s="24">
        <v>4.4364999999999997</v>
      </c>
      <c r="M40" s="25">
        <v>45618</v>
      </c>
      <c r="N40" s="24">
        <v>2.5693999999999999</v>
      </c>
      <c r="O40" s="45">
        <v>3.3662999999999998</v>
      </c>
      <c r="P40" s="39">
        <f t="shared" si="1"/>
        <v>2.2749999999999999</v>
      </c>
      <c r="Q40" s="24">
        <v>98.99</v>
      </c>
      <c r="R40" s="24">
        <v>22.36</v>
      </c>
      <c r="S40" s="24">
        <v>1.0912999999999999</v>
      </c>
      <c r="T40" s="24">
        <f t="shared" si="0"/>
        <v>8.9611999999999998</v>
      </c>
      <c r="U40" s="24"/>
    </row>
    <row r="41" spans="1:21" x14ac:dyDescent="0.3">
      <c r="A41" s="14">
        <v>45427</v>
      </c>
      <c r="B41" s="11">
        <v>40</v>
      </c>
      <c r="C41" s="11">
        <v>3</v>
      </c>
      <c r="D41" s="11">
        <v>111.81</v>
      </c>
      <c r="E41" s="13">
        <v>4.8</v>
      </c>
      <c r="F41" s="17">
        <v>45615</v>
      </c>
      <c r="G41" s="28">
        <v>108.64</v>
      </c>
      <c r="H41" s="24">
        <v>20.78</v>
      </c>
      <c r="I41" s="24">
        <v>16.179600000000001</v>
      </c>
      <c r="J41" s="44">
        <v>11.3796</v>
      </c>
      <c r="K41" s="39">
        <f t="shared" si="2"/>
        <v>10.2912</v>
      </c>
      <c r="L41" s="24">
        <v>5.1154999999999999</v>
      </c>
      <c r="M41" s="25">
        <v>45618</v>
      </c>
      <c r="N41" s="24">
        <v>2.6947999999999999</v>
      </c>
      <c r="O41" s="44">
        <v>3.3397000000000001</v>
      </c>
      <c r="P41" s="39">
        <f t="shared" si="1"/>
        <v>2.2513000000000001</v>
      </c>
      <c r="Q41" s="24">
        <v>107.79</v>
      </c>
      <c r="R41" s="24">
        <v>21.04</v>
      </c>
      <c r="S41" s="24">
        <v>1.0884</v>
      </c>
      <c r="T41" s="24">
        <f t="shared" si="0"/>
        <v>8.0398999999999994</v>
      </c>
      <c r="U41" s="24"/>
    </row>
    <row r="42" spans="1:21" x14ac:dyDescent="0.3">
      <c r="A42" s="14">
        <v>45427</v>
      </c>
      <c r="B42" s="11">
        <v>41</v>
      </c>
      <c r="C42" s="11">
        <v>2</v>
      </c>
      <c r="D42" s="11">
        <v>105.48</v>
      </c>
      <c r="E42" s="13">
        <v>5.6</v>
      </c>
      <c r="F42" s="17">
        <v>45615</v>
      </c>
      <c r="G42" s="28">
        <v>105.46</v>
      </c>
      <c r="H42" s="24">
        <v>20.29</v>
      </c>
      <c r="I42" s="27">
        <v>15.9215</v>
      </c>
      <c r="J42" s="45">
        <v>12.024699999999999</v>
      </c>
      <c r="K42" s="39">
        <f t="shared" si="2"/>
        <v>10.940199999999999</v>
      </c>
      <c r="L42" s="27">
        <v>4.6417999999999999</v>
      </c>
      <c r="M42" s="25">
        <v>45618</v>
      </c>
      <c r="N42" s="24">
        <v>2.6496</v>
      </c>
      <c r="O42" s="45">
        <v>3.2530999999999999</v>
      </c>
      <c r="P42" s="39">
        <f t="shared" si="1"/>
        <v>2.1685999999999996</v>
      </c>
      <c r="Q42" s="24">
        <v>104.11</v>
      </c>
      <c r="R42" s="24">
        <v>21.53</v>
      </c>
      <c r="S42" s="24">
        <v>1.0845</v>
      </c>
      <c r="T42" s="24">
        <f t="shared" si="0"/>
        <v>8.7715999999999994</v>
      </c>
      <c r="U42" s="24"/>
    </row>
    <row r="43" spans="1:21" x14ac:dyDescent="0.3">
      <c r="A43" s="14">
        <v>45427</v>
      </c>
      <c r="B43" s="11">
        <v>42</v>
      </c>
      <c r="C43" s="11">
        <v>2</v>
      </c>
      <c r="D43" s="11">
        <v>99.28</v>
      </c>
      <c r="E43" s="13">
        <v>4.8</v>
      </c>
      <c r="F43" s="17">
        <v>45615</v>
      </c>
      <c r="G43" s="28">
        <v>99.65</v>
      </c>
      <c r="H43" s="28">
        <v>19.3</v>
      </c>
      <c r="I43" s="24">
        <v>14.946199999999999</v>
      </c>
      <c r="J43" s="44">
        <v>11.436400000000001</v>
      </c>
      <c r="K43" s="39">
        <f t="shared" si="2"/>
        <v>10.341800000000001</v>
      </c>
      <c r="L43" s="24">
        <v>4.0218999999999996</v>
      </c>
      <c r="M43" s="25">
        <v>45618</v>
      </c>
      <c r="N43" s="24">
        <v>2.2907000000000002</v>
      </c>
      <c r="O43" s="44">
        <v>3.0247000000000002</v>
      </c>
      <c r="P43" s="39">
        <f t="shared" si="1"/>
        <v>1.9301000000000001</v>
      </c>
      <c r="Q43" s="24">
        <v>98.24</v>
      </c>
      <c r="R43" s="24">
        <v>20.29</v>
      </c>
      <c r="S43" s="24">
        <v>1.0946</v>
      </c>
      <c r="T43" s="24">
        <f t="shared" si="0"/>
        <v>8.4117000000000015</v>
      </c>
      <c r="U43" s="24"/>
    </row>
    <row r="44" spans="1:21" x14ac:dyDescent="0.3">
      <c r="A44" s="14">
        <v>45427</v>
      </c>
      <c r="B44" s="11">
        <v>43</v>
      </c>
      <c r="C44" s="11">
        <v>3</v>
      </c>
      <c r="D44" s="11">
        <v>99.83</v>
      </c>
      <c r="E44" s="13">
        <v>5</v>
      </c>
      <c r="F44" s="16">
        <v>45603</v>
      </c>
      <c r="G44" s="28">
        <v>101.3</v>
      </c>
      <c r="H44" s="24">
        <v>18.739999999999998</v>
      </c>
      <c r="I44" s="24">
        <v>13.113799999999999</v>
      </c>
      <c r="J44" s="44">
        <v>9.1611999999999991</v>
      </c>
      <c r="K44" s="39">
        <f t="shared" si="2"/>
        <v>8.1582999999999988</v>
      </c>
      <c r="L44" s="24">
        <v>4.4737</v>
      </c>
      <c r="M44" s="25">
        <v>45608</v>
      </c>
      <c r="N44" s="27">
        <v>2.2204999999999999</v>
      </c>
      <c r="O44" s="45">
        <v>2.7669999999999999</v>
      </c>
      <c r="P44" s="39">
        <f t="shared" si="1"/>
        <v>1.7641</v>
      </c>
      <c r="Q44" s="24">
        <v>100.35</v>
      </c>
      <c r="R44" s="28">
        <v>20.21</v>
      </c>
      <c r="S44" s="27">
        <v>1.0028999999999999</v>
      </c>
      <c r="T44" s="24">
        <f t="shared" si="0"/>
        <v>6.3941999999999988</v>
      </c>
      <c r="U44" s="24"/>
    </row>
    <row r="45" spans="1:21" x14ac:dyDescent="0.3">
      <c r="A45" s="14">
        <v>45427</v>
      </c>
      <c r="B45" s="11">
        <v>44</v>
      </c>
      <c r="C45" s="11">
        <v>3</v>
      </c>
      <c r="D45" s="11">
        <v>105.23</v>
      </c>
      <c r="E45" s="13">
        <v>5</v>
      </c>
      <c r="F45" s="16">
        <v>45603</v>
      </c>
      <c r="G45" s="28">
        <v>103.75</v>
      </c>
      <c r="H45" s="24">
        <v>19.97</v>
      </c>
      <c r="I45" s="24">
        <v>13.6982</v>
      </c>
      <c r="J45" s="44">
        <v>9.2192000000000007</v>
      </c>
      <c r="K45" s="39">
        <f t="shared" si="2"/>
        <v>8.1813000000000002</v>
      </c>
      <c r="L45" s="24">
        <v>5.2122000000000002</v>
      </c>
      <c r="M45" s="25">
        <v>45608</v>
      </c>
      <c r="N45" s="24">
        <v>2.4805000000000001</v>
      </c>
      <c r="O45" s="44">
        <v>2.7993000000000001</v>
      </c>
      <c r="P45" s="39">
        <f t="shared" si="1"/>
        <v>1.7614000000000001</v>
      </c>
      <c r="Q45" s="24">
        <v>103.78</v>
      </c>
      <c r="R45" s="24">
        <v>22.02</v>
      </c>
      <c r="S45" s="24">
        <v>1.0379</v>
      </c>
      <c r="T45" s="24">
        <f t="shared" si="0"/>
        <v>6.4199000000000002</v>
      </c>
      <c r="U45" s="24"/>
    </row>
    <row r="46" spans="1:21" x14ac:dyDescent="0.3">
      <c r="A46" s="14">
        <v>45427</v>
      </c>
      <c r="B46" s="11">
        <v>45</v>
      </c>
      <c r="C46" s="11">
        <v>3</v>
      </c>
      <c r="D46" s="11">
        <v>100.44</v>
      </c>
      <c r="E46" s="13">
        <v>5.8</v>
      </c>
      <c r="F46" s="17">
        <v>45610</v>
      </c>
      <c r="G46" s="28">
        <v>92.32</v>
      </c>
      <c r="H46" s="24">
        <v>20.28</v>
      </c>
      <c r="I46" s="24">
        <v>13.755599999999999</v>
      </c>
      <c r="J46" s="44">
        <v>9.1666000000000007</v>
      </c>
      <c r="K46" s="39">
        <f t="shared" si="2"/>
        <v>8.14</v>
      </c>
      <c r="L46" s="24">
        <v>4.6273999999999997</v>
      </c>
      <c r="M46" s="25">
        <v>45614</v>
      </c>
      <c r="N46" s="24">
        <v>2.4011999999999998</v>
      </c>
      <c r="O46" s="44">
        <v>2.8420999999999998</v>
      </c>
      <c r="P46" s="39">
        <f t="shared" si="1"/>
        <v>1.8154999999999999</v>
      </c>
      <c r="Q46" s="24">
        <v>91.29</v>
      </c>
      <c r="R46" s="24">
        <v>20.96</v>
      </c>
      <c r="S46" s="24">
        <v>1.0266</v>
      </c>
      <c r="T46" s="24">
        <f t="shared" si="0"/>
        <v>6.3245000000000005</v>
      </c>
      <c r="U46" s="24"/>
    </row>
    <row r="47" spans="1:21" x14ac:dyDescent="0.3">
      <c r="A47" s="14">
        <v>45427</v>
      </c>
      <c r="B47" s="11">
        <v>46</v>
      </c>
      <c r="C47" s="11">
        <v>3</v>
      </c>
      <c r="D47" s="11">
        <v>113.81</v>
      </c>
      <c r="E47" s="13">
        <v>4</v>
      </c>
      <c r="F47" s="16">
        <v>45603</v>
      </c>
      <c r="G47" s="28">
        <v>90.62</v>
      </c>
      <c r="H47" s="24">
        <v>20.88</v>
      </c>
      <c r="I47" s="24">
        <v>16.8781</v>
      </c>
      <c r="J47" s="44">
        <v>11.540800000000001</v>
      </c>
      <c r="K47" s="39">
        <f t="shared" si="2"/>
        <v>10.5289</v>
      </c>
      <c r="L47" s="24">
        <v>5.6584000000000003</v>
      </c>
      <c r="M47" s="25">
        <v>45608</v>
      </c>
      <c r="N47" s="24">
        <v>2.7464</v>
      </c>
      <c r="O47" s="44">
        <v>3.1638000000000002</v>
      </c>
      <c r="P47" s="39">
        <f t="shared" si="1"/>
        <v>2.1519000000000004</v>
      </c>
      <c r="Q47" s="24">
        <v>90.93</v>
      </c>
      <c r="R47" s="24">
        <v>24.11</v>
      </c>
      <c r="S47" s="24">
        <v>1.0119</v>
      </c>
      <c r="T47" s="24">
        <f t="shared" si="0"/>
        <v>8.3769999999999989</v>
      </c>
      <c r="U47" s="24"/>
    </row>
    <row r="48" spans="1:21" x14ac:dyDescent="0.3">
      <c r="A48" s="14">
        <v>45427</v>
      </c>
      <c r="B48" s="11">
        <v>47</v>
      </c>
      <c r="C48" s="11">
        <v>3</v>
      </c>
      <c r="D48" s="11">
        <v>123.66</v>
      </c>
      <c r="E48" s="13">
        <v>5</v>
      </c>
      <c r="F48" s="17">
        <v>45615</v>
      </c>
      <c r="G48" s="28">
        <v>113.12</v>
      </c>
      <c r="H48" s="28">
        <v>24.9</v>
      </c>
      <c r="I48" s="24">
        <v>26.225300000000001</v>
      </c>
      <c r="J48" s="44">
        <v>19.001799999999999</v>
      </c>
      <c r="K48" s="39">
        <f t="shared" si="2"/>
        <v>17.9069</v>
      </c>
      <c r="L48" s="27">
        <v>7.673</v>
      </c>
      <c r="M48" s="25">
        <v>45618</v>
      </c>
      <c r="N48" s="24">
        <v>4.0392999999999999</v>
      </c>
      <c r="O48" s="44">
        <v>4.4440999999999997</v>
      </c>
      <c r="P48" s="39">
        <f t="shared" si="1"/>
        <v>3.3491999999999997</v>
      </c>
      <c r="Q48" s="24">
        <v>112.58</v>
      </c>
      <c r="R48" s="24">
        <v>27.23</v>
      </c>
      <c r="S48" s="24">
        <v>1.0949</v>
      </c>
      <c r="T48" s="24">
        <f t="shared" si="0"/>
        <v>14.557700000000001</v>
      </c>
      <c r="U48" s="24"/>
    </row>
    <row r="49" spans="1:21" x14ac:dyDescent="0.3">
      <c r="A49" s="14">
        <v>45427</v>
      </c>
      <c r="B49" s="11">
        <v>48</v>
      </c>
      <c r="C49" s="11">
        <v>3</v>
      </c>
      <c r="D49" s="11">
        <v>106.45</v>
      </c>
      <c r="E49" s="13">
        <v>5.8</v>
      </c>
      <c r="F49" s="17">
        <v>45610</v>
      </c>
      <c r="G49" s="28">
        <v>99.66</v>
      </c>
      <c r="H49" s="24">
        <v>20.58</v>
      </c>
      <c r="I49" s="24">
        <v>14.6374</v>
      </c>
      <c r="J49" s="44">
        <v>10.2369</v>
      </c>
      <c r="K49" s="39">
        <f t="shared" si="2"/>
        <v>9.2419000000000011</v>
      </c>
      <c r="L49" s="24">
        <v>4.5659000000000001</v>
      </c>
      <c r="M49" s="25">
        <v>45614</v>
      </c>
      <c r="N49" s="24">
        <v>2.3954</v>
      </c>
      <c r="O49" s="44">
        <v>2.9792000000000001</v>
      </c>
      <c r="P49" s="39">
        <f t="shared" si="1"/>
        <v>1.9842</v>
      </c>
      <c r="Q49" s="24">
        <v>98.93</v>
      </c>
      <c r="R49" s="24">
        <v>20.9</v>
      </c>
      <c r="S49" s="27">
        <v>0.995</v>
      </c>
      <c r="T49" s="24">
        <f t="shared" si="0"/>
        <v>7.2577000000000016</v>
      </c>
      <c r="U49" s="24"/>
    </row>
    <row r="50" spans="1:21" x14ac:dyDescent="0.3">
      <c r="A50" s="14">
        <v>45427</v>
      </c>
      <c r="B50" s="11">
        <v>49</v>
      </c>
      <c r="C50" s="11" t="s">
        <v>2</v>
      </c>
      <c r="D50" s="11">
        <v>95.34</v>
      </c>
      <c r="E50" s="13">
        <v>2.6</v>
      </c>
      <c r="F50" s="17">
        <v>45610</v>
      </c>
      <c r="G50" s="28">
        <v>92.56</v>
      </c>
      <c r="H50" s="24">
        <v>17.940000000000001</v>
      </c>
      <c r="I50" s="27">
        <v>11.673999999999999</v>
      </c>
      <c r="J50" s="44">
        <v>8.0167000000000002</v>
      </c>
      <c r="K50" s="39">
        <f t="shared" si="2"/>
        <v>7.0208000000000004</v>
      </c>
      <c r="L50" s="24">
        <v>3.7972999999999999</v>
      </c>
      <c r="M50" s="25">
        <v>45614</v>
      </c>
      <c r="N50" s="27">
        <v>1.7809999999999999</v>
      </c>
      <c r="O50" s="44">
        <v>2.3464</v>
      </c>
      <c r="P50" s="39">
        <f t="shared" si="1"/>
        <v>1.3505</v>
      </c>
      <c r="Q50" s="24">
        <v>91.74</v>
      </c>
      <c r="R50" s="28">
        <v>19</v>
      </c>
      <c r="S50" s="24">
        <v>0.99590000000000001</v>
      </c>
      <c r="T50" s="24">
        <f t="shared" si="0"/>
        <v>5.6703000000000001</v>
      </c>
      <c r="U50" s="24"/>
    </row>
    <row r="51" spans="1:21" x14ac:dyDescent="0.3">
      <c r="A51" s="14">
        <v>45427</v>
      </c>
      <c r="B51" s="11">
        <v>50</v>
      </c>
      <c r="C51" s="11" t="s">
        <v>2</v>
      </c>
      <c r="D51" s="11">
        <v>105.57</v>
      </c>
      <c r="E51" s="13">
        <v>5</v>
      </c>
      <c r="F51" s="17">
        <v>45610</v>
      </c>
      <c r="G51" s="28">
        <v>103.21</v>
      </c>
      <c r="H51" s="24">
        <v>22.07</v>
      </c>
      <c r="I51" s="24">
        <v>17.005400000000002</v>
      </c>
      <c r="J51" s="44">
        <v>11.7608</v>
      </c>
      <c r="K51" s="39">
        <f t="shared" si="2"/>
        <v>10.751199999999999</v>
      </c>
      <c r="L51" s="24">
        <v>5.3437000000000001</v>
      </c>
      <c r="M51" s="25">
        <v>45614</v>
      </c>
      <c r="N51" s="24">
        <v>2.8321000000000001</v>
      </c>
      <c r="O51" s="44">
        <v>3.4121000000000001</v>
      </c>
      <c r="P51" s="39">
        <f t="shared" si="1"/>
        <v>2.4024999999999999</v>
      </c>
      <c r="Q51" s="24">
        <v>101.56</v>
      </c>
      <c r="R51" s="24">
        <v>23.02</v>
      </c>
      <c r="S51" s="24">
        <v>1.0096000000000001</v>
      </c>
      <c r="T51" s="24">
        <f t="shared" si="0"/>
        <v>8.3486999999999991</v>
      </c>
      <c r="U51" s="24"/>
    </row>
    <row r="52" spans="1:21" x14ac:dyDescent="0.3">
      <c r="A52" s="14">
        <v>45427</v>
      </c>
      <c r="B52" s="11">
        <v>51</v>
      </c>
      <c r="C52" s="11" t="s">
        <v>2</v>
      </c>
      <c r="D52" s="11">
        <v>101.14</v>
      </c>
      <c r="E52" s="13">
        <v>5</v>
      </c>
      <c r="F52" s="17">
        <v>45610</v>
      </c>
      <c r="G52" s="28">
        <v>88.37</v>
      </c>
      <c r="H52" s="24">
        <v>19.59</v>
      </c>
      <c r="I52" s="24">
        <v>12.2811</v>
      </c>
      <c r="J52" s="44">
        <v>8.2731999999999992</v>
      </c>
      <c r="K52" s="39">
        <f t="shared" si="2"/>
        <v>7.2584999999999997</v>
      </c>
      <c r="L52" s="24">
        <v>4.3377999999999997</v>
      </c>
      <c r="M52" s="25">
        <v>45614</v>
      </c>
      <c r="N52" s="24">
        <v>2.2686000000000002</v>
      </c>
      <c r="O52" s="44">
        <v>2.6755</v>
      </c>
      <c r="P52" s="39">
        <f t="shared" si="1"/>
        <v>1.6608000000000001</v>
      </c>
      <c r="Q52" s="28">
        <v>87.3</v>
      </c>
      <c r="R52" s="28">
        <v>21.6</v>
      </c>
      <c r="S52" s="24">
        <v>1.0146999999999999</v>
      </c>
      <c r="T52" s="24">
        <f t="shared" si="0"/>
        <v>5.5976999999999997</v>
      </c>
      <c r="U52" s="24"/>
    </row>
    <row r="53" spans="1:21" x14ac:dyDescent="0.3">
      <c r="A53" s="14">
        <v>45427</v>
      </c>
      <c r="B53" s="11">
        <v>52</v>
      </c>
      <c r="C53" s="11" t="s">
        <v>2</v>
      </c>
      <c r="D53" s="11">
        <v>121.05</v>
      </c>
      <c r="E53" s="13">
        <v>4</v>
      </c>
      <c r="F53" s="17">
        <v>45610</v>
      </c>
      <c r="G53" s="28">
        <v>123.2</v>
      </c>
      <c r="H53" s="24">
        <v>24.11</v>
      </c>
      <c r="I53" s="24">
        <v>24.800599999999999</v>
      </c>
      <c r="J53" s="44">
        <v>15.9953</v>
      </c>
      <c r="K53" s="39">
        <f t="shared" si="2"/>
        <v>14.982700000000001</v>
      </c>
      <c r="L53" s="24">
        <v>7.7728999999999999</v>
      </c>
      <c r="M53" s="25">
        <v>45614</v>
      </c>
      <c r="N53" s="24">
        <v>3.7814000000000001</v>
      </c>
      <c r="O53" s="44">
        <v>4.3132000000000001</v>
      </c>
      <c r="P53" s="39">
        <f t="shared" si="1"/>
        <v>3.3006000000000002</v>
      </c>
      <c r="Q53" s="24">
        <v>121.85</v>
      </c>
      <c r="R53" s="24">
        <v>25.41</v>
      </c>
      <c r="S53" s="24">
        <v>1.0125999999999999</v>
      </c>
      <c r="T53" s="24">
        <f t="shared" si="0"/>
        <v>11.682100000000002</v>
      </c>
      <c r="U53" s="24"/>
    </row>
    <row r="54" spans="1:21" x14ac:dyDescent="0.3">
      <c r="A54" s="14">
        <v>45427</v>
      </c>
      <c r="B54" s="11">
        <v>53</v>
      </c>
      <c r="C54" s="11">
        <v>3</v>
      </c>
      <c r="D54" s="11">
        <v>101.29</v>
      </c>
      <c r="E54" s="13">
        <v>4.8</v>
      </c>
      <c r="F54" s="17">
        <v>45610</v>
      </c>
      <c r="G54" s="28">
        <v>96.28</v>
      </c>
      <c r="H54" s="24">
        <v>19.61</v>
      </c>
      <c r="I54" s="24">
        <v>12.2334</v>
      </c>
      <c r="J54" s="44">
        <v>8.2635000000000005</v>
      </c>
      <c r="K54" s="39">
        <f t="shared" si="2"/>
        <v>7.2510000000000003</v>
      </c>
      <c r="L54" s="27">
        <v>4.0940000000000003</v>
      </c>
      <c r="M54" s="25">
        <v>45614</v>
      </c>
      <c r="N54" s="24">
        <v>2.2517</v>
      </c>
      <c r="O54" s="45">
        <v>2.5510000000000002</v>
      </c>
      <c r="P54" s="39">
        <f t="shared" si="1"/>
        <v>1.5385000000000002</v>
      </c>
      <c r="Q54" s="28">
        <v>94.3</v>
      </c>
      <c r="R54" s="24">
        <v>19.760000000000002</v>
      </c>
      <c r="S54" s="24">
        <v>1.0125</v>
      </c>
      <c r="T54" s="24">
        <f t="shared" si="0"/>
        <v>5.7125000000000004</v>
      </c>
      <c r="U54" s="24"/>
    </row>
    <row r="55" spans="1:21" x14ac:dyDescent="0.3">
      <c r="A55" s="14">
        <v>45427</v>
      </c>
      <c r="B55" s="11">
        <v>54</v>
      </c>
      <c r="C55" s="11">
        <v>3</v>
      </c>
      <c r="D55" s="11">
        <v>104.22</v>
      </c>
      <c r="E55" s="13">
        <v>5</v>
      </c>
      <c r="F55" s="17">
        <v>45610</v>
      </c>
      <c r="G55" s="28">
        <v>98.96</v>
      </c>
      <c r="H55" s="24">
        <v>20.57</v>
      </c>
      <c r="I55" s="24">
        <v>14.273300000000001</v>
      </c>
      <c r="J55" s="44">
        <v>10.423400000000001</v>
      </c>
      <c r="K55" s="39">
        <f t="shared" si="2"/>
        <v>9.3892000000000007</v>
      </c>
      <c r="L55" s="24">
        <v>4.3548</v>
      </c>
      <c r="M55" s="25">
        <v>45614</v>
      </c>
      <c r="N55" s="24">
        <v>2.4073000000000002</v>
      </c>
      <c r="O55" s="44">
        <v>3.1067</v>
      </c>
      <c r="P55" s="39">
        <f t="shared" si="1"/>
        <v>2.0724999999999998</v>
      </c>
      <c r="Q55" s="24">
        <v>98.23</v>
      </c>
      <c r="R55" s="24">
        <v>21.28</v>
      </c>
      <c r="S55" s="24">
        <v>1.0342</v>
      </c>
      <c r="T55" s="24">
        <f t="shared" si="0"/>
        <v>7.3167000000000009</v>
      </c>
      <c r="U55" s="24"/>
    </row>
    <row r="56" spans="1:21" x14ac:dyDescent="0.3">
      <c r="A56" s="14">
        <v>45427</v>
      </c>
      <c r="B56" s="11">
        <v>55</v>
      </c>
      <c r="C56" s="11">
        <v>3</v>
      </c>
      <c r="D56" s="11">
        <v>111.91</v>
      </c>
      <c r="E56" s="13">
        <v>4.4000000000000004</v>
      </c>
      <c r="F56" s="17">
        <v>45610</v>
      </c>
      <c r="G56" s="28">
        <v>110.68</v>
      </c>
      <c r="H56" s="24">
        <v>22.39</v>
      </c>
      <c r="I56" s="24">
        <v>18.970400000000001</v>
      </c>
      <c r="J56" s="44">
        <v>13.817299999999999</v>
      </c>
      <c r="K56" s="39">
        <f t="shared" si="2"/>
        <v>12.8072</v>
      </c>
      <c r="L56" s="24">
        <v>5.5488</v>
      </c>
      <c r="M56" s="25">
        <v>45614</v>
      </c>
      <c r="N56" s="24">
        <v>2.9902000000000002</v>
      </c>
      <c r="O56" s="44">
        <v>3.8075000000000001</v>
      </c>
      <c r="P56" s="39">
        <f t="shared" si="1"/>
        <v>2.7974000000000001</v>
      </c>
      <c r="Q56" s="24">
        <v>109.26</v>
      </c>
      <c r="R56" s="24">
        <v>23.74</v>
      </c>
      <c r="S56" s="24">
        <v>1.0101</v>
      </c>
      <c r="T56" s="24">
        <f t="shared" si="0"/>
        <v>10.0098</v>
      </c>
      <c r="U56" s="24"/>
    </row>
    <row r="57" spans="1:21" x14ac:dyDescent="0.3">
      <c r="A57" s="14">
        <v>45427</v>
      </c>
      <c r="B57" s="11">
        <v>56</v>
      </c>
      <c r="C57" s="11">
        <v>3</v>
      </c>
      <c r="D57" s="11">
        <v>115.16</v>
      </c>
      <c r="E57" s="13">
        <v>4.8</v>
      </c>
      <c r="F57" s="17">
        <v>45610</v>
      </c>
      <c r="G57" s="28">
        <v>113.22</v>
      </c>
      <c r="H57" s="24">
        <v>22.57</v>
      </c>
      <c r="I57" s="24">
        <v>19.057400000000001</v>
      </c>
      <c r="J57" s="44">
        <v>13.5098</v>
      </c>
      <c r="K57" s="39">
        <f t="shared" si="2"/>
        <v>12.506500000000001</v>
      </c>
      <c r="L57" s="24">
        <v>6.0510999999999999</v>
      </c>
      <c r="M57" s="25">
        <v>45614</v>
      </c>
      <c r="N57" s="24">
        <v>3.2107999999999999</v>
      </c>
      <c r="O57" s="44">
        <v>3.9091</v>
      </c>
      <c r="P57" s="39">
        <f t="shared" si="1"/>
        <v>2.9058000000000002</v>
      </c>
      <c r="Q57" s="24">
        <v>112.43</v>
      </c>
      <c r="R57" s="24">
        <v>24.42</v>
      </c>
      <c r="S57" s="24">
        <v>1.0033000000000001</v>
      </c>
      <c r="T57" s="24">
        <f t="shared" si="0"/>
        <v>9.6006999999999998</v>
      </c>
      <c r="U57" s="24"/>
    </row>
    <row r="58" spans="1:21" x14ac:dyDescent="0.3">
      <c r="A58" s="14">
        <v>45427</v>
      </c>
      <c r="B58" s="11">
        <v>57</v>
      </c>
      <c r="C58" s="11">
        <v>3</v>
      </c>
      <c r="D58" s="11">
        <v>103.1</v>
      </c>
      <c r="E58" s="13">
        <v>5.6</v>
      </c>
      <c r="F58" s="17">
        <v>45610</v>
      </c>
      <c r="G58" s="28">
        <v>96.29</v>
      </c>
      <c r="H58" s="24">
        <v>20.71</v>
      </c>
      <c r="I58" s="24">
        <v>14.9602</v>
      </c>
      <c r="J58" s="44">
        <v>10.3994</v>
      </c>
      <c r="K58" s="39">
        <f t="shared" si="2"/>
        <v>9.3935999999999993</v>
      </c>
      <c r="L58" s="24">
        <v>4.5065999999999997</v>
      </c>
      <c r="M58" s="25">
        <v>45614</v>
      </c>
      <c r="N58" s="24">
        <v>2.4611000000000001</v>
      </c>
      <c r="O58" s="44">
        <v>2.9817999999999998</v>
      </c>
      <c r="P58" s="39">
        <f t="shared" si="1"/>
        <v>1.9759999999999998</v>
      </c>
      <c r="Q58" s="28">
        <v>93.3</v>
      </c>
      <c r="R58" s="24">
        <v>20.55</v>
      </c>
      <c r="S58" s="24">
        <v>1.0058</v>
      </c>
      <c r="T58" s="24">
        <f t="shared" si="0"/>
        <v>7.4175999999999993</v>
      </c>
      <c r="U58" s="24"/>
    </row>
    <row r="59" spans="1:21" x14ac:dyDescent="0.3">
      <c r="A59" s="14">
        <v>45427</v>
      </c>
      <c r="B59" s="11">
        <v>58</v>
      </c>
      <c r="C59" s="11">
        <v>3</v>
      </c>
      <c r="D59" s="11">
        <v>108.5</v>
      </c>
      <c r="E59" s="13">
        <v>4.5999999999999996</v>
      </c>
      <c r="F59" s="17">
        <v>45610</v>
      </c>
      <c r="G59" s="28">
        <v>113.24</v>
      </c>
      <c r="H59" s="24">
        <v>20.54</v>
      </c>
      <c r="I59" s="24">
        <v>15.415800000000001</v>
      </c>
      <c r="J59" s="44">
        <v>10.261100000000001</v>
      </c>
      <c r="K59" s="39">
        <f t="shared" si="2"/>
        <v>9.2151000000000014</v>
      </c>
      <c r="L59" s="24">
        <v>5.2058999999999997</v>
      </c>
      <c r="M59" s="25">
        <v>45614</v>
      </c>
      <c r="N59" s="27">
        <v>2.891</v>
      </c>
      <c r="O59" s="44">
        <v>3.1583000000000001</v>
      </c>
      <c r="P59" s="39">
        <f t="shared" si="1"/>
        <v>2.1123000000000003</v>
      </c>
      <c r="Q59" s="24">
        <v>112.19</v>
      </c>
      <c r="R59" s="24">
        <v>23.29</v>
      </c>
      <c r="S59" s="27">
        <v>1.046</v>
      </c>
      <c r="T59" s="24">
        <f t="shared" si="0"/>
        <v>7.1028000000000011</v>
      </c>
      <c r="U59" s="24"/>
    </row>
    <row r="60" spans="1:21" x14ac:dyDescent="0.3">
      <c r="A60" s="14">
        <v>45427</v>
      </c>
      <c r="B60" s="11">
        <v>59</v>
      </c>
      <c r="C60" s="11">
        <v>3</v>
      </c>
      <c r="D60" s="11">
        <v>99.71</v>
      </c>
      <c r="E60" s="13">
        <v>5.6</v>
      </c>
      <c r="F60" s="17">
        <v>45610</v>
      </c>
      <c r="G60" s="28">
        <v>97.67</v>
      </c>
      <c r="H60" s="28">
        <v>19.5</v>
      </c>
      <c r="I60" s="24">
        <v>13.525700000000001</v>
      </c>
      <c r="J60" s="44">
        <v>8.8015000000000008</v>
      </c>
      <c r="K60" s="39">
        <f t="shared" si="2"/>
        <v>7.773600000000001</v>
      </c>
      <c r="L60" s="24">
        <v>3.8675000000000002</v>
      </c>
      <c r="M60" s="25">
        <v>45614</v>
      </c>
      <c r="N60" s="24">
        <v>2.1172</v>
      </c>
      <c r="O60" s="45">
        <v>2.76</v>
      </c>
      <c r="P60" s="39">
        <f t="shared" si="1"/>
        <v>1.7320999999999998</v>
      </c>
      <c r="Q60" s="24">
        <v>97.27</v>
      </c>
      <c r="R60" s="24">
        <v>20.65</v>
      </c>
      <c r="S60" s="24">
        <v>1.0279</v>
      </c>
      <c r="T60" s="24">
        <f t="shared" si="0"/>
        <v>6.041500000000001</v>
      </c>
      <c r="U60" s="24"/>
    </row>
    <row r="61" spans="1:21" x14ac:dyDescent="0.3">
      <c r="A61" s="14">
        <v>45427</v>
      </c>
      <c r="B61" s="11">
        <v>60</v>
      </c>
      <c r="C61" s="11">
        <v>3</v>
      </c>
      <c r="D61" s="11">
        <v>101.66</v>
      </c>
      <c r="E61" s="13">
        <v>5.6</v>
      </c>
      <c r="F61" s="17">
        <v>45610</v>
      </c>
      <c r="G61" s="28">
        <v>94.64</v>
      </c>
      <c r="H61" s="24">
        <v>19.41</v>
      </c>
      <c r="I61" s="24">
        <v>13.2149</v>
      </c>
      <c r="J61" s="44">
        <v>9.1599000000000004</v>
      </c>
      <c r="K61" s="39">
        <f t="shared" si="2"/>
        <v>8.1492000000000004</v>
      </c>
      <c r="L61" s="24">
        <v>4.4108999999999998</v>
      </c>
      <c r="M61" s="25">
        <v>45614</v>
      </c>
      <c r="N61" s="24">
        <v>2.2121</v>
      </c>
      <c r="O61" s="44">
        <v>2.7164000000000001</v>
      </c>
      <c r="P61" s="39">
        <f t="shared" si="1"/>
        <v>1.7057000000000002</v>
      </c>
      <c r="Q61" s="24">
        <v>94.77</v>
      </c>
      <c r="R61" s="24">
        <v>20.11</v>
      </c>
      <c r="S61" s="24">
        <v>1.0106999999999999</v>
      </c>
      <c r="T61" s="24">
        <f t="shared" si="0"/>
        <v>6.4435000000000002</v>
      </c>
      <c r="U61" s="24"/>
    </row>
    <row r="62" spans="1:21" x14ac:dyDescent="0.3">
      <c r="A62" s="21"/>
      <c r="B62" s="22"/>
      <c r="C62" s="22"/>
      <c r="D62" s="23"/>
      <c r="E62" s="26"/>
      <c r="F62" s="23"/>
      <c r="G62" s="24"/>
      <c r="H62" s="24"/>
      <c r="I62" s="24"/>
      <c r="J62" s="44"/>
      <c r="K62" s="39"/>
      <c r="L62" s="24"/>
      <c r="M62" s="24"/>
      <c r="N62" s="24"/>
      <c r="O62" s="44"/>
      <c r="P62" s="39"/>
      <c r="Q62" s="24"/>
      <c r="R62" s="24"/>
      <c r="S62" s="24"/>
      <c r="T62" s="24"/>
      <c r="U62" s="24"/>
    </row>
    <row r="63" spans="1:21" x14ac:dyDescent="0.3">
      <c r="A63" s="21"/>
      <c r="B63" s="22"/>
      <c r="C63" s="22"/>
      <c r="D63" s="23"/>
      <c r="E63" s="26"/>
      <c r="F63" s="23"/>
      <c r="G63" s="24"/>
      <c r="H63" s="24"/>
      <c r="I63" s="24"/>
      <c r="J63" s="44"/>
      <c r="K63" s="39"/>
      <c r="L63" s="24"/>
      <c r="M63" s="24"/>
      <c r="N63" s="24"/>
      <c r="O63" s="44"/>
      <c r="P63" s="39"/>
      <c r="Q63" s="24"/>
      <c r="R63" s="24"/>
      <c r="S63" s="24"/>
      <c r="T63" s="24"/>
      <c r="U63" s="24"/>
    </row>
    <row r="64" spans="1:21" x14ac:dyDescent="0.3">
      <c r="A64" s="21"/>
      <c r="B64" s="22"/>
      <c r="C64" s="22"/>
      <c r="D64" s="23"/>
      <c r="E64" s="26"/>
      <c r="F64" s="23"/>
      <c r="G64" s="24"/>
      <c r="H64" s="24"/>
      <c r="I64" s="24"/>
      <c r="J64" s="44"/>
      <c r="K64" s="39"/>
      <c r="L64" s="24"/>
      <c r="M64" s="24"/>
      <c r="N64" s="24"/>
      <c r="O64" s="44"/>
      <c r="P64" s="39"/>
      <c r="Q64" s="24"/>
      <c r="R64" s="24"/>
      <c r="S64" s="24"/>
      <c r="T64" s="24"/>
      <c r="U64" s="24"/>
    </row>
    <row r="65" spans="1:21" x14ac:dyDescent="0.3">
      <c r="A65" s="21"/>
      <c r="B65" s="22"/>
      <c r="C65" s="22"/>
      <c r="D65" s="23"/>
      <c r="E65" s="26"/>
      <c r="F65" s="23"/>
      <c r="G65" s="24"/>
      <c r="H65" s="24"/>
      <c r="I65" s="24"/>
      <c r="J65" s="44"/>
      <c r="K65" s="39"/>
      <c r="L65" s="24"/>
      <c r="M65" s="24"/>
      <c r="N65" s="24"/>
      <c r="O65" s="44"/>
      <c r="P65" s="39"/>
      <c r="Q65" s="24"/>
      <c r="R65" s="24"/>
      <c r="S65" s="24"/>
      <c r="T65" s="24"/>
      <c r="U65" s="24"/>
    </row>
    <row r="66" spans="1:21" x14ac:dyDescent="0.3">
      <c r="A66" s="21"/>
      <c r="B66" s="22"/>
      <c r="C66" s="22"/>
      <c r="D66" s="23"/>
      <c r="E66" s="26"/>
      <c r="F66" s="23"/>
      <c r="G66" s="24"/>
      <c r="H66" s="24"/>
      <c r="I66" s="24"/>
      <c r="J66" s="44"/>
      <c r="K66" s="39"/>
      <c r="L66" s="24"/>
      <c r="M66" s="24"/>
      <c r="N66" s="24"/>
      <c r="O66" s="44"/>
      <c r="P66" s="39"/>
      <c r="Q66" s="24"/>
      <c r="R66" s="24"/>
      <c r="S66" s="24"/>
      <c r="T66" s="24"/>
      <c r="U66" s="24"/>
    </row>
    <row r="67" spans="1:21" x14ac:dyDescent="0.3">
      <c r="A67" s="21"/>
      <c r="B67" s="22"/>
      <c r="C67" s="22"/>
      <c r="D67" s="23"/>
      <c r="E67" s="26"/>
      <c r="F67" s="23"/>
      <c r="G67" s="24"/>
      <c r="H67" s="24"/>
      <c r="I67" s="24"/>
      <c r="J67" s="44"/>
      <c r="K67" s="39"/>
      <c r="L67" s="24"/>
      <c r="M67" s="24"/>
      <c r="N67" s="24"/>
      <c r="O67" s="44"/>
      <c r="P67" s="39"/>
      <c r="Q67" s="24"/>
      <c r="R67" s="24"/>
      <c r="S67" s="24"/>
      <c r="T67" s="24"/>
      <c r="U67" s="24"/>
    </row>
    <row r="68" spans="1:21" x14ac:dyDescent="0.3">
      <c r="A68" s="21"/>
      <c r="B68" s="22"/>
      <c r="C68" s="22"/>
      <c r="D68" s="23"/>
      <c r="E68" s="26"/>
      <c r="F68" s="23"/>
      <c r="G68" s="24"/>
      <c r="H68" s="24"/>
      <c r="I68" s="24"/>
      <c r="J68" s="44"/>
      <c r="K68" s="39"/>
      <c r="L68" s="24"/>
      <c r="M68" s="24"/>
      <c r="N68" s="24"/>
      <c r="O68" s="44"/>
      <c r="P68" s="39"/>
      <c r="Q68" s="24"/>
      <c r="R68" s="24"/>
      <c r="S68" s="24"/>
      <c r="T68" s="24"/>
      <c r="U68" s="24"/>
    </row>
    <row r="69" spans="1:21" x14ac:dyDescent="0.3">
      <c r="A69" s="21"/>
      <c r="B69" s="22"/>
      <c r="C69" s="22"/>
      <c r="D69" s="23"/>
      <c r="E69" s="26"/>
      <c r="F69" s="23"/>
      <c r="G69" s="24"/>
      <c r="H69" s="24"/>
      <c r="I69" s="24"/>
      <c r="J69" s="44"/>
      <c r="K69" s="39"/>
      <c r="L69" s="24"/>
      <c r="M69" s="24"/>
      <c r="N69" s="24"/>
      <c r="O69" s="44"/>
      <c r="P69" s="39"/>
      <c r="Q69" s="24"/>
      <c r="R69" s="24"/>
      <c r="S69" s="24"/>
      <c r="T69" s="24"/>
      <c r="U69" s="24"/>
    </row>
    <row r="70" spans="1:21" x14ac:dyDescent="0.3">
      <c r="A70" s="21"/>
      <c r="B70" s="22"/>
      <c r="C70" s="22"/>
      <c r="D70" s="23"/>
      <c r="E70" s="26"/>
      <c r="F70" s="23"/>
      <c r="G70" s="24"/>
      <c r="H70" s="24"/>
      <c r="I70" s="24"/>
      <c r="J70" s="44"/>
      <c r="K70" s="39"/>
      <c r="L70" s="24"/>
      <c r="M70" s="24"/>
      <c r="N70" s="24"/>
      <c r="O70" s="44"/>
      <c r="P70" s="39"/>
      <c r="Q70" s="24"/>
      <c r="R70" s="24"/>
      <c r="S70" s="24"/>
      <c r="T70" s="24"/>
      <c r="U70" s="24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 Data</vt:lpstr>
      <vt:lpstr>Lab Sheet Printing</vt:lpstr>
      <vt:lpstr>Merus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Landry, Katherine</dc:creator>
  <cp:lastModifiedBy>Surette, Tobie (DFO/MPO)</cp:lastModifiedBy>
  <cp:lastPrinted>2024-10-21T10:31:58Z</cp:lastPrinted>
  <dcterms:created xsi:type="dcterms:W3CDTF">2015-06-05T18:17:20Z</dcterms:created>
  <dcterms:modified xsi:type="dcterms:W3CDTF">2025-11-18T12:43:58Z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2025-11-18T12:43:35Z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dc97a8f3-d225-42c9-aeb9-384b2eeeea61</vt:lpwstr>
  </property>
  <property fmtid="{D5CDD505-2E9C-101B-9397-08002B2CF9AE}" pid="8" name="MSIP_Label_4e6cdb53-fd15-486d-84de-c510e3a62203_ContentBits">
    <vt:lpwstr>1</vt:lpwstr>
  </property>
</Properties>
</file>